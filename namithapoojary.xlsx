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amin project\"/>
    </mc:Choice>
  </mc:AlternateContent>
  <bookViews>
    <workbookView xWindow="0" yWindow="0" windowWidth="19200" windowHeight="7580" activeTab="4"/>
  </bookViews>
  <sheets>
    <sheet name="Call Center Data" sheetId="2" r:id="rId1"/>
    <sheet name="sentiment analysis" sheetId="6" r:id="rId2"/>
    <sheet name="operation perform" sheetId="5" r:id="rId3"/>
    <sheet name="SLA perform" sheetId="3" r:id="rId4"/>
    <sheet name="CSAT Analysis" sheetId="4" r:id="rId5"/>
    <sheet name="dashboard" sheetId="7" r:id="rId6"/>
    <sheet name="KPI_calculation" sheetId="8" state="hidden" r:id="rId7"/>
    <sheet name="Sheet2" sheetId="12" state="hidden" r:id="rId8"/>
    <sheet name="Sheet4" sheetId="10" state="hidden" r:id="rId9"/>
  </sheets>
  <definedNames>
    <definedName name="Slicer_Call_Timestamp">#N/A</definedName>
    <definedName name="Slicer_Channel">#N/A</definedName>
    <definedName name="Slicer_Sentiment">#N/A</definedName>
  </definedNames>
  <calcPr calcId="162913"/>
  <pivotCaches>
    <pivotCache cacheId="1"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5" i="8" l="1"/>
  <c r="C3" i="8"/>
  <c r="A3" i="8"/>
  <c r="G6" i="8"/>
  <c r="G4" i="8"/>
  <c r="A5" i="8"/>
</calcChain>
</file>

<file path=xl/sharedStrings.xml><?xml version="1.0" encoding="utf-8"?>
<sst xmlns="http://schemas.openxmlformats.org/spreadsheetml/2006/main" count="782" uniqueCount="286">
  <si>
    <t>Excel Sample Data</t>
  </si>
  <si>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</si>
  <si>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</si>
  <si>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</si>
  <si>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</si>
  <si>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</si>
  <si>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</si>
  <si>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</si>
  <si>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</si>
  <si>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</si>
  <si>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</si>
  <si>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</si>
  <si>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</si>
  <si>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</si>
  <si>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</si>
  <si>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</si>
  <si>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</si>
  <si>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</si>
  <si>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</si>
  <si>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</si>
  <si>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</si>
  <si>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</si>
  <si>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</si>
  <si>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</si>
  <si>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</si>
  <si>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</si>
  <si>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</si>
  <si>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</si>
  <si>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</si>
  <si>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</si>
  <si>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</si>
  <si>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</si>
  <si>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</si>
  <si>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</si>
  <si>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</si>
  <si>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</si>
  <si>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</si>
  <si>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</si>
  <si>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</si>
  <si>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</si>
  <si>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</si>
  <si>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</si>
  <si>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</si>
  <si>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</si>
  <si>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</si>
  <si>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</si>
  <si>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</si>
  <si>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</si>
  <si>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</si>
  <si>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</si>
  <si>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</si>
  <si>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</si>
  <si>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</si>
  <si>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</si>
  <si>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</si>
  <si>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</si>
  <si>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</si>
  <si>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</si>
  <si>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</si>
  <si>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</si>
  <si>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</si>
  <si>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</si>
  <si>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</si>
  <si>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</si>
  <si>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</si>
  <si>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</si>
  <si>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</si>
  <si>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</si>
  <si>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</si>
  <si>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</si>
  <si>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</si>
  <si>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</si>
  <si>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</si>
  <si>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</si>
  <si>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</si>
  <si>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</si>
  <si>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</si>
  <si>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</si>
  <si>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</si>
  <si>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</si>
  <si>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</si>
  <si>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</si>
  <si>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</si>
  <si>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</si>
  <si>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</si>
  <si>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</si>
  <si>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</si>
  <si>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</si>
  <si>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</si>
  <si>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</si>
  <si>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</si>
  <si>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</si>
  <si>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</si>
  <si>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</si>
  <si>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</si>
  <si>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</si>
  <si>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</si>
  <si>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</si>
  <si>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</si>
  <si>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</si>
  <si>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</si>
  <si>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</si>
  <si>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</si>
  <si>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</si>
  <si>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</si>
  <si>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</si>
  <si>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</si>
  <si>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</si>
  <si>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</si>
  <si>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</si>
  <si>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</si>
  <si>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</si>
  <si>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</si>
  <si>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</si>
  <si>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</si>
  <si>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</si>
  <si>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</si>
  <si>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</si>
  <si>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</si>
  <si>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</si>
  <si>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</si>
  <si>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</si>
  <si>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</si>
  <si>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</si>
  <si>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</si>
  <si>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</si>
  <si>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</si>
  <si>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</si>
  <si>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</si>
  <si>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</si>
  <si>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</si>
  <si>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</si>
  <si>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</si>
  <si>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</si>
  <si>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</si>
  <si>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</si>
  <si>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</si>
  <si>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</si>
  <si>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</si>
  <si>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</si>
  <si>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</si>
  <si>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</si>
  <si>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</si>
  <si>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</si>
  <si>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</si>
  <si>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</si>
  <si>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</si>
  <si>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</si>
  <si>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</si>
  <si>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</si>
  <si>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</si>
  <si>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</si>
  <si>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</si>
  <si>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</si>
  <si>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</si>
  <si>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</si>
  <si>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</si>
  <si>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</si>
  <si>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</si>
  <si>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</si>
  <si>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</si>
  <si>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</si>
  <si>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</si>
  <si>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</si>
  <si>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</si>
  <si>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</si>
  <si>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</si>
  <si>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</si>
  <si>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</si>
  <si>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</si>
  <si>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</si>
  <si>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</si>
  <si>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</si>
  <si>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</si>
  <si>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</si>
  <si>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</si>
  <si>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</si>
  <si>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</si>
  <si>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</si>
  <si>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</si>
  <si>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</si>
  <si>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</si>
  <si>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</si>
  <si>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</si>
  <si>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</si>
  <si>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</si>
  <si>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</si>
  <si>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</si>
  <si>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</si>
  <si>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</si>
  <si>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</si>
  <si>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</si>
  <si>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</si>
  <si>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</si>
  <si>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</si>
  <si>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</si>
  <si>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</si>
  <si>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</si>
  <si>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</si>
  <si>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</si>
  <si>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</si>
  <si>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</si>
  <si>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</si>
  <si>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</si>
  <si>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</si>
  <si>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</si>
  <si>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</si>
  <si>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</si>
  <si>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</si>
  <si>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</si>
  <si>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</si>
  <si>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</si>
  <si>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</si>
  <si>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</si>
  <si>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</si>
  <si>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</si>
  <si>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</si>
  <si>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</si>
  <si>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</si>
  <si>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</si>
  <si>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</si>
  <si>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</si>
  <si>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</si>
  <si>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</si>
  <si>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</si>
  <si>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</si>
  <si>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</si>
  <si>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</si>
  <si>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</si>
  <si>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</si>
  <si>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</si>
  <si>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</si>
  <si>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</si>
  <si>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</si>
  <si>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</si>
  <si>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</si>
  <si>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</si>
  <si>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</si>
  <si>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</si>
  <si>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</si>
  <si>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</si>
  <si>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</si>
  <si>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</si>
  <si>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</si>
  <si>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</si>
  <si>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</si>
  <si>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</si>
  <si>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</si>
  <si>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</si>
  <si>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</si>
  <si>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</si>
  <si>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</si>
  <si>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</si>
  <si>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</si>
  <si>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</si>
  <si>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</si>
  <si>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</si>
  <si>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</si>
  <si>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</si>
  <si>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(All)</t>
  </si>
  <si>
    <t>Sum of Call Duration (Minutes)</t>
  </si>
  <si>
    <t>Negative Total</t>
  </si>
  <si>
    <t>Grand Total</t>
  </si>
  <si>
    <t>Chatbot Total</t>
  </si>
  <si>
    <t>Email Total</t>
  </si>
  <si>
    <t>Web Total</t>
  </si>
  <si>
    <t>Denver/CO Total</t>
  </si>
  <si>
    <t>Los Angeles/CA Total</t>
  </si>
  <si>
    <t>Average of CSAT Score</t>
  </si>
  <si>
    <t>Billing Question Total</t>
  </si>
  <si>
    <t>call count</t>
  </si>
  <si>
    <t>avg csat</t>
  </si>
  <si>
    <t>avg call</t>
  </si>
  <si>
    <t>SLA</t>
  </si>
  <si>
    <t>Row Labels</t>
  </si>
  <si>
    <t>Average of Call Duration (Minutes)2</t>
  </si>
  <si>
    <t>Count of Response Time</t>
  </si>
  <si>
    <t>Call-Center Total</t>
  </si>
  <si>
    <t>Baltimore/MD Total</t>
  </si>
  <si>
    <t>Chicago/IL Total</t>
  </si>
  <si>
    <t>Payments Total</t>
  </si>
  <si>
    <t>Service Outage Total</t>
  </si>
  <si>
    <t>Neutral Total</t>
  </si>
  <si>
    <t>Positive Total</t>
  </si>
  <si>
    <t>Very Negative Total</t>
  </si>
  <si>
    <t>Very Positive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</si>
</sst>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 x14ac:knownFonts="1">
    <font>
      <sz val="11"/>
      <color theme="1"/>
      <name val="Tw Cen MT"/>
      <family val="2"/>
      <scheme val="minor"/>
    </font>
    <font>
      <b/>
      <sz val="14"/>
      <color rgb="FF272760"/>
      <name val="Calibri"/>
      <family val="2"/>
    </font>
    <font>
      <sz val="11"/>
      <color theme="1"/>
      <name val="Calibri"/>
      <family val="2"/>
    </font>
    <font>
      <b/>
      <sz val="13"/>
      <color rgb="FF272760"/>
      <name val="Calibri"/>
      <family val="2"/>
    </font>
    <font>
      <b/>
      <sz val="12"/>
      <color rgb="FFFFFFFF"/>
      <name val="Calibri"/>
      <family val="2"/>
    </font>
    <font>
      <sz val="11"/>
      <color rgb="FF000000"/>
      <name val="Calibri"/>
      <family val="2"/>
    </font>
    <font>
      <sz val="11"/>
      <color theme="0"/>
      <name val="Tw Cen MT"/>
      <family val="2"/>
      <scheme val="minor"/>
    </font>
  </fonts>
  <fills count="5">
    <fill>
      <patternFill patternType="none"/>
    </fill>
    <fill>
      <patternFill patternType="gray125"/>
    </fill>
    <fill>
      <patternFill patternType="solid">
        <fgColor rgb="FFD9E1F2"/>
        <bgColor indexed="64"/>
      </patternFill>
    </fill>
    <fill>
      <patternFill patternType="solid">
        <fgColor rgb="FF272760"/>
        <bgColor indexed="64"/>
      </patternFill>
    </fill>
    <fill>
      <patternFill patternType="solid">
        <fgColor theme="3" tint="0.79998168889431442"/>
        <bgColor indexed="64"/>
      </patternFill>
    </fill>
  </fills>
  <borders count="11">
    <border>
      <left/>
      <right/>
      <top/>
      <bottom/>
      <diagonal/>
    </border>
    <border>
      <left/>
      <right/>
      <top/>
      <bottom style="medium">
        <color rgb="FF272760"/>
      </bottom>
      <diagonal/>
    </border>
    <border>
      <left style="thin">
        <color rgb="FFD9D9D9"/>
      </left>
      <right style="thin">
        <color rgb="FFD9D9D9"/>
      </right>
      <top style="thin">
        <color rgb="FFD9D9D9"/>
      </top>
      <bottom style="thin">
        <color rgb="FFD9D9D9"/>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Continuous" vertical="center"/>
    </xf>
    <xf numFmtId="0" fontId="2" fillId="0" borderId="0" xfId="0" applyFont="1"/>
    <xf numFmtId="0" fontId="3" fillId="2" borderId="1" xfId="0" applyFont="1" applyFill="1" applyBorder="1" applyAlignment="1">
      <alignment horizontal="centerContinuous" vertical="center"/>
    </xf>
    <xf numFmtId="0" fontId="4" fillId="3" borderId="2" xfId="0" applyFont="1" applyFill="1" applyBorder="1" applyAlignment="1">
      <alignment horizontal="center" vertical="center" wrapText="1"/>
    </xf>
    <xf numFmtId="0" fontId="5" fillId="0" borderId="2" xfId="0" applyFont="1" applyBorder="1" applyAlignment="1">
      <alignment vertical="center"/>
    </xf>
    <xf numFmtId="14" fontId="5" fillId="0" borderId="2" xfId="0" applyNumberFormat="1" applyFont="1" applyBorder="1" applyAlignment="1">
      <alignment vertical="center"/>
    </xf>
    <xf numFmtId="14" fontId="2" fillId="0" borderId="0" xfId="0" applyNumberFormat="1" applyFont="1"/>
    <xf numFmtId="0" fontId="0" fillId="0" borderId="0" xfId="0" pivotButton="1"/>
    <xf numFmtId="0" fontId="0" fillId="0" borderId="0" xfId="0" applyNumberFormat="1"/>
    <xf numFmtId="0" fontId="6" fillId="4" borderId="0" xfId="0" applyFont="1" applyFill="1"/>
    <xf numFmtId="2" fontId="0" fillId="0" borderId="0" xfId="0" applyNumberFormat="1"/>
    <xf numFmtId="164" fontId="0" fillId="0" borderId="0" xfId="0" applyNumberFormat="1"/>
    <xf numFmtId="0" fontId="0" fillId="0" borderId="0" xfId="0" applyAlignment="1">
      <alignment horizontal="left"/>
    </xf>
    <xf numFmtId="10" fontId="0" fillId="0" borderId="0" xfId="0" applyNumberFormat="1"/>
    <xf numFmtId="0" fontId="6" fillId="4" borderId="0" xfId="0" applyFont="1" applyFill="1" applyBorder="1"/>
    <xf numFmtId="0" fontId="6" fillId="4" borderId="3" xfId="0" applyFont="1" applyFill="1" applyBorder="1"/>
    <xf numFmtId="0" fontId="6" fillId="4" borderId="4" xfId="0" applyFont="1" applyFill="1" applyBorder="1"/>
    <xf numFmtId="0" fontId="6" fillId="4" borderId="5" xfId="0" applyFont="1" applyFill="1" applyBorder="1"/>
    <xf numFmtId="0" fontId="6" fillId="4" borderId="6" xfId="0" applyFont="1" applyFill="1" applyBorder="1"/>
    <xf numFmtId="0" fontId="6" fillId="4" borderId="7" xfId="0" applyFont="1" applyFill="1" applyBorder="1"/>
    <xf numFmtId="0" fontId="6" fillId="4" borderId="8" xfId="0" applyFont="1" applyFill="1" applyBorder="1"/>
    <xf numFmtId="0" fontId="6" fillId="4" borderId="9" xfId="0" applyFont="1" applyFill="1" applyBorder="1"/>
    <xf numFmtId="0" fontId="6" fillId="4" borderId="10" xfId="0" applyFont="1" applyFill="1" applyBorder="1"/>
  </cellXfs>
  <cellStyles count="1">
    <cellStyle name="Normal" xfId="0" builtinId="0"/>
  </cellStyles>
  <dxfs count="10">
    <dxf>
      <numFmt numFmtId="165" formatCode="0.0000000"/>
    </dxf>
    <dxf>
      <numFmt numFmtId="166" formatCode="0.000000"/>
    </dxf>
    <dxf>
      <numFmt numFmtId="167" formatCode="0.00000"/>
    </dxf>
    <dxf>
      <numFmt numFmtId="168" formatCode="0.0000"/>
    </dxf>
    <dxf>
      <numFmt numFmtId="169" formatCode="0.000"/>
    </dxf>
    <dxf>
      <numFmt numFmtId="2" formatCode="0.00"/>
    </dxf>
    <dxf>
      <fill>
        <patternFill>
          <bgColor theme="0" tint="-0.24994659260841701"/>
        </patternFill>
      </fill>
    </dxf>
    <dxf>
      <fill>
        <patternFill>
          <bgColor theme="0" tint="-0.24994659260841701"/>
        </patternFill>
      </fill>
    </dxf>
    <dxf>
      <fill>
        <patternFill patternType="none">
          <bgColor auto="1"/>
        </patternFill>
      </fill>
    </dxf>
    <dxf>
      <fill>
        <patternFill>
          <bgColor rgb="FF00B0F0"/>
        </patternFill>
      </fill>
    </dxf>
  </dxfs>
  <tableStyles count="4" defaultTableStyle="TableStyleMedium2" defaultPivotStyle="PivotStyleLight16">
    <tableStyle name="a" pivot="0" table="0" count="3">
      <tableStyleElement type="wholeTable" dxfId="9"/>
      <tableStyleElement type="headerRow" dxfId="8"/>
    </tableStyle>
    <tableStyle name="amin" pivot="0" table="0" count="10">
      <tableStyleElement type="wholeTable" dxfId="6"/>
    </tableStyle>
    <tableStyle name="jkbrkn" pivot="0" table="0" count="1">
      <tableStyleElement type="wholeTable" dxfId="7"/>
    </tableStyle>
    <tableStyle name="myslicer" pivot="0" table="0" count="1"/>
  </tableStyles>
  <extLst>
    <ext xmlns:x14="http://schemas.microsoft.com/office/spreadsheetml/2009/9/main" uri="{46F421CA-312F-682f-3DD2-61675219B42D}">
      <x14:dxfs count="9">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ill>
            <patternFill>
              <bgColor theme="1" tint="0.34998626667073579"/>
            </patternFill>
          </fill>
        </dxf>
        <dxf>
          <font>
            <color theme="0"/>
          </font>
          <fill>
            <patternFill>
              <bgColor theme="1" tint="0.34998626667073579"/>
            </patternFill>
          </fill>
        </dxf>
        <dxf>
          <fill>
            <patternFill>
              <bgColor theme="1" tint="0.34998626667073579"/>
            </patternFill>
          </fill>
        </dxf>
        <dxf>
          <fill>
            <patternFill>
              <bgColor theme="1" tint="0.34998626667073579"/>
            </patternFill>
          </fill>
        </dxf>
        <dxf>
          <fill>
            <patternFill>
              <bgColor theme="4" tint="0.59996337778862885"/>
            </patternFill>
          </fill>
        </dxf>
      </x14:dxfs>
    </ext>
    <ext xmlns:x14="http://schemas.microsoft.com/office/spreadsheetml/2009/9/main" uri="{EB79DEF2-80B8-43e5-95BD-54CBDDF9020C}">
      <x14:slicerStyles defaultSlicerStyle="SlicerStyleLight1">
        <x14:slicerStyle name="a">
          <x14:slicerStyleElements>
            <x14:slicerStyleElement type="selectedItemWithData" dxfId="8"/>
          </x14:slicerStyleElements>
        </x14:slicerStyle>
        <x14:slicerStyle name="ami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jkbrkn"/>
        <x14:slicerStyle name="my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[namithapoojary.xlsx]sentiment analysis!PivotTable3</c:name>
    <c:fmtId val="9"/>
  </c:pivotSource>
  <c:chart>
    <c:title>
      <c:tx>
        <c:rich>
          <a:bodyPr rot="0" spcFirstLastPara="1" vertOverflow="ellipsis" vert="horz" wrap="square" anchor="ctr" anchorCtr="1"/>
          <a:lstStyle/>
          <a:p>
            <a:pPr>
              <a:defRPr sz="1600" b="1" i="0" u="sng" strike="noStrike" kern="1200" spc="0" baseline="0">
                <a:solidFill>
                  <a:srgbClr val="000000"/>
                </a:solidFill>
                <a:latin typeface="+mn-lt"/>
                <a:ea typeface="+mn-ea"/>
                <a:cs typeface="+mn-cs"/>
              </a:defRPr>
            </a:pPr>
            <a:r>
              <a:rPr lang="en-US"/>
              <a:t>Total call Duration by Sentiment and Channel</a:t>
            </a:r>
          </a:p>
        </c:rich>
      </c:tx>
      <c:layout/>
      <c:overlay val="0"/>
      <c:spPr>
        <a:solidFill>
          <a:srgbClr val="C0E6F5"/>
        </a:solidFill>
        <a:ln>
          <a:noFill/>
        </a:ln>
        <a:effectLst/>
      </c:spPr>
      <c:txPr>
        <a:bodyPr rot="0" spcFirstLastPara="1" vertOverflow="ellipsis" vert="horz" wrap="square" anchor="ctr" anchorCtr="1"/>
        <a:lstStyle/>
        <a:p>
          <a:pPr>
            <a:defRPr sz="1600" b="1" i="0" u="sng"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'sentiment analysis'!$C$3</c:f>
              <c:strCache>
                <c:ptCount val="1"/>
                <c:pt idx="0">
                  <c:v>Total</c:v>
                </c:pt>
              </c:strCache>
            </c:strRef>
          </c:tx>
          <c:spPr>
            <a:solidFill>
              <a:schemeClr val="accent1"/>
            </a:solidFill>
            <a:ln>
              <a:noFill/>
            </a:ln>
            <a:effectLst/>
          </c:spPr>
          <c:invertIfNegative val="0"/>
          <c:cat>
            <c:multiLvlStrRef>
              <c:f>'sentiment analysis'!$A$4:$B$28</c:f>
              <c:multiLvlStrCache>
                <c:ptCount val="19"/>
                <c:lvl>
                  <c:pt idx="0">
                    <c:v>Call-Center</c:v>
                  </c:pt>
                  <c:pt idx="1">
                    <c:v>Chatbot</c:v>
                  </c:pt>
                  <c:pt idx="2">
                    <c:v>Email</c:v>
                  </c:pt>
                  <c:pt idx="3">
                    <c:v>Web</c:v>
                  </c:pt>
                  <c:pt idx="4">
                    <c:v>Call-Center</c:v>
                  </c:pt>
                  <c:pt idx="5">
                    <c:v>Chatbot</c:v>
                  </c:pt>
                  <c:pt idx="6">
                    <c:v>Email</c:v>
                  </c:pt>
                  <c:pt idx="7">
                    <c:v>Web</c:v>
                  </c:pt>
                  <c:pt idx="8">
                    <c:v>Call-Center</c:v>
                  </c:pt>
                  <c:pt idx="9">
                    <c:v>Chatbot</c:v>
                  </c:pt>
                  <c:pt idx="10">
                    <c:v>Email</c:v>
                  </c:pt>
                  <c:pt idx="11">
                    <c:v>Web</c:v>
                  </c:pt>
                  <c:pt idx="12">
                    <c:v>Call-Center</c:v>
                  </c:pt>
                  <c:pt idx="13">
                    <c:v>Chatbot</c:v>
                  </c:pt>
                  <c:pt idx="14">
                    <c:v>Email</c:v>
                  </c:pt>
                  <c:pt idx="15">
                    <c:v>Web</c:v>
                  </c:pt>
                  <c:pt idx="16">
                    <c:v>Call-Center</c:v>
                  </c:pt>
                  <c:pt idx="17">
                    <c:v>Chatbot</c:v>
                  </c:pt>
                  <c:pt idx="18">
                    <c:v>Web</c:v>
                  </c:pt>
                </c:lvl>
                <c:lvl>
                  <c:pt idx="0">
                    <c:v>Negative</c:v>
                  </c:pt>
                  <c:pt idx="4">
                    <c:v>Neutral</c:v>
                  </c:pt>
                  <c:pt idx="8">
                    <c:v>Positive</c:v>
                  </c:pt>
                  <c:pt idx="12">
                    <c:v>Very Negative</c:v>
                  </c:pt>
                  <c:pt idx="16">
                    <c:v>Very Positive</c:v>
                  </c:pt>
                </c:lvl>
              </c:multiLvlStrCache>
            </c:multiLvlStrRef>
          </c:cat>
          <c:val>
            <c:numRef>
              <c:f>'sentiment analysis'!$C$4:$C$28</c:f>
              <c:numCache>
                <c:formatCode>General</c:formatCode>
                <c:ptCount val="19"/>
                <c:pt idx="0">
                  <c:v>322</c:v>
                </c:pt>
                <c:pt idx="1">
                  <c:v>235</c:v>
                </c:pt>
                <c:pt idx="2">
                  <c:v>31</c:v>
                </c:pt>
                <c:pt idx="3">
                  <c:v>215</c:v>
                </c:pt>
                <c:pt idx="4">
                  <c:v>54</c:v>
                </c:pt>
                <c:pt idx="5">
                  <c:v>85</c:v>
                </c:pt>
                <c:pt idx="6">
                  <c:v>39</c:v>
                </c:pt>
                <c:pt idx="7">
                  <c:v>6</c:v>
                </c:pt>
                <c:pt idx="8">
                  <c:v>26</c:v>
                </c:pt>
                <c:pt idx="9">
                  <c:v>80</c:v>
                </c:pt>
                <c:pt idx="10">
                  <c:v>93</c:v>
                </c:pt>
                <c:pt idx="11">
                  <c:v>46</c:v>
                </c:pt>
                <c:pt idx="12">
                  <c:v>70</c:v>
                </c:pt>
                <c:pt idx="13">
                  <c:v>233</c:v>
                </c:pt>
                <c:pt idx="14">
                  <c:v>60</c:v>
                </c:pt>
                <c:pt idx="15">
                  <c:v>74</c:v>
                </c:pt>
                <c:pt idx="16">
                  <c:v>85</c:v>
                </c:pt>
                <c:pt idx="17">
                  <c:v>8</c:v>
                </c:pt>
                <c:pt idx="18">
                  <c:v>76</c:v>
                </c:pt>
              </c:numCache>
            </c:numRef>
          </c:val>
          <c:extLst>
            <c:ext xmlns:c16="http://schemas.microsoft.com/office/drawing/2014/chart" uri="{C3380CC4-5D6E-409C-BE32-E72D297353CC}">
              <c16:uniqueId val="{00000000-1C80-4A70-9A63-D0A935D79999}"/>
            </c:ext>
          </c:extLst>
        </c:ser>
        <c:dLbls>
          <c:showLegendKey val="0"/>
          <c:showVal val="0"/>
          <c:showCatName val="0"/>
          <c:showSerName val="0"/>
          <c:showPercent val="0"/>
          <c:showBubbleSize val="0"/>
        </c:dLbls>
        <c:gapWidth val="219"/>
        <c:overlap val="-27"/>
        <c:axId val="1468099591"/>
        <c:axId val="1468064775"/>
      </c:barChart>
      <c:catAx>
        <c:axId val="1468099591"/>
        <c:scaling>
          <c:orientation val="minMax"/>
        </c:scaling>
        <c:delete val="0"/>
        <c:axPos val="b"/>
        <c:numFmt formatCode="General" sourceLinked="1"/>
        <c:majorTickMark val="none"/>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468064775"/>
        <c:crosses val="autoZero"/>
        <c:auto val="1"/>
        <c:lblAlgn val="ctr"/>
        <c:lblOffset val="100"/>
        <c:noMultiLvlLbl val="0"/>
      </c:catAx>
      <c:valAx>
        <c:axId val="1468064775"/>
        <c:scaling>
          <c:orientation val="minMax"/>
        </c:scaling>
        <c:delete val="1"/>
        <c:axPos val="l"/>
        <c:numFmt formatCode="General" sourceLinked="1"/>
        <c:majorTickMark val="none"/>
        <c:minorTickMark val="none"/>
        <c:tickLblPos val="nextTo"/>
        <c:crossAx val="1468099591"/>
        <c:crosses val="autoZero"/>
        <c:crossBetween val="between"/>
      </c:valAx>
      <c:spPr>
        <a:noFill/>
        <a:ln>
          <a:noFill/>
        </a:ln>
        <a:effectLst/>
      </c:spPr>
    </c:plotArea>
    <c:plotVisOnly val="1"/>
    <c:dispBlanksAs val="gap"/>
    <c:showDLblsOverMax val="0"/>
  </c:chart>
  <c:spPr>
    <a:solidFill>
      <a:srgbClr val="C0E6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[namithapoojary.xlsx]operation perform!PivotTable2</c:name>
    <c:fmtId val="3"/>
  </c:pivotSource>
  <c:chart>
    <c:title>
      <c:tx>
        <c:rich>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r>
              <a:rPr lang="en-US"/>
              <a:t>Total call Duration by Channel and Callcentre</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1"/>
        <c:spPr>
          <a:solidFill>
            <a:schemeClr val="accent1"/>
          </a:solidFill>
          <a:ln>
            <a:noFill/>
          </a:ln>
          <a:effectLst/>
        </c:spPr>
        <c:dLbl>
          <c:idx val="0"/>
          <c:layout>
            <c:manualLayout>
              <c:x val="0"/>
              <c:y val="-5.278039585296889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2"/>
        <c:spPr>
          <a:solidFill>
            <a:schemeClr val="accent1"/>
          </a:solidFill>
          <a:ln>
            <a:noFill/>
          </a:ln>
          <a:effectLst/>
        </c:spPr>
        <c:dLbl>
          <c:idx val="0"/>
          <c:layout>
            <c:manualLayout>
              <c:x val="0"/>
              <c:y val="-0.105560791705937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3"/>
        <c:spPr>
          <a:solidFill>
            <a:schemeClr val="accent1"/>
          </a:solidFill>
          <a:ln>
            <a:noFill/>
          </a:ln>
          <a:effectLst/>
        </c:spPr>
        <c:dLbl>
          <c:idx val="0"/>
          <c:layout>
            <c:manualLayout>
              <c:x val="-1.3974747249203461E-16"/>
              <c:y val="-7.54005655042412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4"/>
        <c:spPr>
          <a:solidFill>
            <a:schemeClr val="accent1"/>
          </a:solidFill>
          <a:ln>
            <a:noFill/>
          </a:ln>
          <a:effectLst/>
        </c:spPr>
        <c:dLbl>
          <c:idx val="0"/>
          <c:layout>
            <c:manualLayout>
              <c:x val="0"/>
              <c:y val="-4.524033930254477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4.2305859933301569E-2"/>
                  <c:h val="5.7304429783223372E-2"/>
                </c:manualLayout>
              </c15:layout>
            </c:ext>
          </c:extLst>
        </c:dLbl>
      </c:pivotFmt>
      <c:pivotFmt>
        <c:idx val="5"/>
        <c:spPr>
          <a:solidFill>
            <a:schemeClr val="accent1"/>
          </a:solidFill>
          <a:ln>
            <a:noFill/>
          </a:ln>
          <a:effectLst/>
        </c:spPr>
        <c:dLbl>
          <c:idx val="0"/>
          <c:layout>
            <c:manualLayout>
              <c:x val="0"/>
              <c:y val="1.131008482563619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6"/>
        <c:spPr>
          <a:solidFill>
            <a:schemeClr val="accent1"/>
          </a:solidFill>
          <a:ln>
            <a:noFill/>
          </a:ln>
          <a:effectLst/>
        </c:spPr>
        <c:dLbl>
          <c:idx val="0"/>
          <c:layout>
            <c:manualLayout>
              <c:x val="-1.9056693663649356E-3"/>
              <c:y val="-4.90103675777569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7"/>
        <c:spPr>
          <a:solidFill>
            <a:schemeClr val="accent1"/>
          </a:solidFill>
          <a:ln>
            <a:noFill/>
          </a:ln>
          <a:effectLst/>
        </c:spPr>
        <c:dLbl>
          <c:idx val="0"/>
          <c:layout>
            <c:manualLayout>
              <c:x val="1.9056693663647959E-3"/>
              <c:y val="-7.1630537229029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8"/>
        <c:spPr>
          <a:solidFill>
            <a:schemeClr val="accent1"/>
          </a:solidFill>
          <a:ln>
            <a:noFill/>
          </a:ln>
          <a:effectLst/>
        </c:spPr>
        <c:dLbl>
          <c:idx val="0"/>
          <c:layout>
            <c:manualLayout>
              <c:x val="0"/>
              <c:y val="-0.1131008482563619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
        <c:idx val="9"/>
        <c:spPr>
          <a:solidFill>
            <a:schemeClr val="accent1"/>
          </a:solidFill>
          <a:ln>
            <a:noFill/>
          </a:ln>
          <a:effectLst/>
        </c:spPr>
        <c:dLbl>
          <c:idx val="0"/>
          <c:layout>
            <c:manualLayout>
              <c:x val="0"/>
              <c:y val="-9.802073515551366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ext>
          </c:extLst>
        </c:dLbl>
      </c:pivotFmt>
    </c:pivotFmts>
    <c:plotArea>
      <c:layout/>
      <c:barChart>
        <c:barDir val="col"/>
        <c:grouping val="stacked"/>
        <c:varyColors val="0"/>
        <c:ser>
          <c:idx val="0"/>
          <c:order val="0"/>
          <c:tx>
            <c:strRef>
              <c:f>'operation perform'!$C$3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1-DA48-41B8-893D-0E86C3A96BE1}"/>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DA48-41B8-893D-0E86C3A96BE1}"/>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3-DA48-41B8-893D-0E86C3A96BE1}"/>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4-DA48-41B8-893D-0E86C3A96BE1}"/>
              </c:ext>
            </c:extLst>
          </c:dPt>
          <c:dPt>
            <c:idx val="6"/>
            <c:invertIfNegative val="0"/>
            <c:bubble3D val="0"/>
            <c:spPr>
              <a:solidFill>
                <a:schemeClr val="accent1"/>
              </a:solidFill>
              <a:ln>
                <a:noFill/>
              </a:ln>
              <a:effectLst/>
            </c:spPr>
            <c:extLst>
              <c:ext xmlns:c16="http://schemas.microsoft.com/office/drawing/2014/chart" uri="{C3380CC4-5D6E-409C-BE32-E72D297353CC}">
                <c16:uniqueId val="{00000000-DA48-41B8-893D-0E86C3A96BE1}"/>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5-DA48-41B8-893D-0E86C3A96BE1}"/>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6-DA48-41B8-893D-0E86C3A96BE1}"/>
              </c:ext>
            </c:extLst>
          </c:dPt>
          <c:dPt>
            <c:idx val="10"/>
            <c:invertIfNegative val="0"/>
            <c:bubble3D val="0"/>
            <c:spPr>
              <a:solidFill>
                <a:schemeClr val="accent1"/>
              </a:solidFill>
              <a:ln>
                <a:noFill/>
              </a:ln>
              <a:effectLst/>
            </c:spPr>
            <c:extLst>
              <c:ext xmlns:c16="http://schemas.microsoft.com/office/drawing/2014/chart" uri="{C3380CC4-5D6E-409C-BE32-E72D297353CC}">
                <c16:uniqueId val="{00000007-DA48-41B8-893D-0E86C3A96BE1}"/>
              </c:ext>
            </c:extLst>
          </c:dPt>
          <c:dPt>
            <c:idx val="11"/>
            <c:invertIfNegative val="0"/>
            <c:bubble3D val="0"/>
            <c:spPr>
              <a:solidFill>
                <a:schemeClr val="accent1"/>
              </a:solidFill>
              <a:ln>
                <a:noFill/>
              </a:ln>
              <a:effectLst/>
            </c:spPr>
            <c:extLst>
              <c:ext xmlns:c16="http://schemas.microsoft.com/office/drawing/2014/chart" uri="{C3380CC4-5D6E-409C-BE32-E72D297353CC}">
                <c16:uniqueId val="{00000008-DA48-41B8-893D-0E86C3A96BE1}"/>
              </c:ext>
            </c:extLst>
          </c:dPt>
          <c:dLbls>
            <c:dLbl>
              <c:idx val="1"/>
              <c:layout>
                <c:manualLayout>
                  <c:x val="-1.9056693663649356E-3"/>
                  <c:y val="-4.9010367577756904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1-DA48-41B8-893D-0E86C3A96BE1}"/>
                </c:ext>
              </c:extLst>
            </c:dLbl>
            <c:dLbl>
              <c:idx val="2"/>
              <c:layout>
                <c:manualLayout>
                  <c:x val="0"/>
                  <c:y val="-9.8020735155513669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2-DA48-41B8-893D-0E86C3A96BE1}"/>
                </c:ext>
              </c:extLst>
            </c:dLbl>
            <c:dLbl>
              <c:idx val="4"/>
              <c:layout>
                <c:manualLayout>
                  <c:x val="0"/>
                  <c:y val="1.1310084825636193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3-DA48-41B8-893D-0E86C3A96BE1}"/>
                </c:ext>
              </c:extLst>
            </c:dLbl>
            <c:dLbl>
              <c:idx val="5"/>
              <c:layout>
                <c:manualLayout>
                  <c:x val="0"/>
                  <c:y val="-4.524033930254477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4.2305859933301569E-2"/>
                      <c:h val="5.7304429783223372E-2"/>
                    </c:manualLayout>
                  </c15:layout>
                </c:ext>
                <c:ext xmlns:c16="http://schemas.microsoft.com/office/drawing/2014/chart" uri="{C3380CC4-5D6E-409C-BE32-E72D297353CC}">
                  <c16:uniqueId val="{00000004-DA48-41B8-893D-0E86C3A96BE1}"/>
                </c:ext>
              </c:extLst>
            </c:dLbl>
            <c:dLbl>
              <c:idx val="6"/>
              <c:layout>
                <c:manualLayout>
                  <c:x val="0"/>
                  <c:y val="-5.2780395852968898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0-DA48-41B8-893D-0E86C3A96BE1}"/>
                </c:ext>
              </c:extLst>
            </c:dLbl>
            <c:dLbl>
              <c:idx val="7"/>
              <c:layout>
                <c:manualLayout>
                  <c:x val="0"/>
                  <c:y val="-0.1055607917059378"/>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5-DA48-41B8-893D-0E86C3A96BE1}"/>
                </c:ext>
              </c:extLst>
            </c:dLbl>
            <c:dLbl>
              <c:idx val="8"/>
              <c:layout>
                <c:manualLayout>
                  <c:x val="-1.3974747249203461E-16"/>
                  <c:y val="-7.5400565504241276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6-DA48-41B8-893D-0E86C3A96BE1}"/>
                </c:ext>
              </c:extLst>
            </c:dLbl>
            <c:dLbl>
              <c:idx val="10"/>
              <c:layout>
                <c:manualLayout>
                  <c:x val="0"/>
                  <c:y val="-0.1131008482563619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7-DA48-41B8-893D-0E86C3A96BE1}"/>
                </c:ext>
              </c:extLst>
            </c:dLbl>
            <c:dLbl>
              <c:idx val="11"/>
              <c:layout>
                <c:manualLayout>
                  <c:x val="1.9056693663647959E-3"/>
                  <c:y val="-7.163053722902922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ext>
                <c:ext xmlns:c16="http://schemas.microsoft.com/office/drawing/2014/chart" uri="{C3380CC4-5D6E-409C-BE32-E72D297353CC}">
                  <c16:uniqueId val="{00000008-DA48-41B8-893D-0E86C3A96BE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'operation perform'!$A$4:$B$21</c:f>
              <c:multiLvlStrCache>
                <c:ptCount val="13"/>
                <c:lvl>
                  <c:pt idx="0">
                    <c:v>Baltimore/MD</c:v>
                  </c:pt>
                  <c:pt idx="1">
                    <c:v>Chicago/IL</c:v>
                  </c:pt>
                  <c:pt idx="2">
                    <c:v>Denver/CO</c:v>
                  </c:pt>
                  <c:pt idx="3">
                    <c:v>Los Angeles/CA</c:v>
                  </c:pt>
                  <c:pt idx="4">
                    <c:v>Baltimore/MD</c:v>
                  </c:pt>
                  <c:pt idx="5">
                    <c:v>Chicago/IL</c:v>
                  </c:pt>
                  <c:pt idx="6">
                    <c:v>Denver/CO</c:v>
                  </c:pt>
                  <c:pt idx="7">
                    <c:v>Los Angeles/CA</c:v>
                  </c:pt>
                  <c:pt idx="8">
                    <c:v>Denver/CO</c:v>
                  </c:pt>
                  <c:pt idx="9">
                    <c:v>Los Angeles/CA</c:v>
                  </c:pt>
                  <c:pt idx="10">
                    <c:v>Baltimore/MD</c:v>
                  </c:pt>
                  <c:pt idx="11">
                    <c:v>Denver/CO</c:v>
                  </c:pt>
                  <c:pt idx="12">
                    <c:v>Los Angeles/CA</c:v>
                  </c:pt>
                </c:lvl>
                <c:lvl>
                  <c:pt idx="0">
                    <c:v>Call-Center</c:v>
                  </c:pt>
                  <c:pt idx="4">
                    <c:v>Chatbot</c:v>
                  </c:pt>
                  <c:pt idx="8">
                    <c:v>Email</c:v>
                  </c:pt>
                  <c:pt idx="10">
                    <c:v>Web</c:v>
                  </c:pt>
                </c:lvl>
              </c:multiLvlStrCache>
            </c:multiLvlStrRef>
          </c:cat>
          <c:val>
            <c:numRef>
              <c:f>'operation perform'!$C$4:$C$21</c:f>
              <c:numCache>
                <c:formatCode>General</c:formatCode>
                <c:ptCount val="13"/>
                <c:pt idx="0">
                  <c:v>191</c:v>
                </c:pt>
                <c:pt idx="1">
                  <c:v>34</c:v>
                </c:pt>
                <c:pt idx="2">
                  <c:v>92</c:v>
                </c:pt>
                <c:pt idx="3">
                  <c:v>240</c:v>
                </c:pt>
                <c:pt idx="4">
                  <c:v>353</c:v>
                </c:pt>
                <c:pt idx="5">
                  <c:v>161</c:v>
                </c:pt>
                <c:pt idx="6">
                  <c:v>6</c:v>
                </c:pt>
                <c:pt idx="7">
                  <c:v>121</c:v>
                </c:pt>
                <c:pt idx="8">
                  <c:v>8</c:v>
                </c:pt>
                <c:pt idx="9">
                  <c:v>215</c:v>
                </c:pt>
                <c:pt idx="10">
                  <c:v>103</c:v>
                </c:pt>
                <c:pt idx="11">
                  <c:v>31</c:v>
                </c:pt>
                <c:pt idx="12">
                  <c:v>283</c:v>
                </c:pt>
              </c:numCache>
            </c:numRef>
          </c:val>
          <c:extLst>
            <c:ext xmlns:c16="http://schemas.microsoft.com/office/drawing/2014/chart" uri="{C3380CC4-5D6E-409C-BE32-E72D297353CC}">
              <c16:uniqueId val="{00000000-A299-4E3F-845E-71A0869859E5}"/>
            </c:ext>
          </c:extLst>
        </c:ser>
        <c:dLbls>
          <c:showLegendKey val="0"/>
          <c:showVal val="0"/>
          <c:showCatName val="0"/>
          <c:showSerName val="0"/>
          <c:showPercent val="0"/>
          <c:showBubbleSize val="0"/>
        </c:dLbls>
        <c:gapWidth val="150"/>
        <c:overlap val="100"/>
        <c:axId val="1581404167"/>
        <c:axId val="1581407751"/>
      </c:barChart>
      <c:catAx>
        <c:axId val="1581404167"/>
        <c:scaling>
          <c:orientation val="minMax"/>
        </c:scaling>
        <c:delete val="0"/>
        <c:axPos val="b"/>
        <c:numFmt formatCode="General" sourceLinked="1"/>
        <c:majorTickMark val="out"/>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581407751"/>
        <c:crosses val="autoZero"/>
        <c:auto val="1"/>
        <c:lblAlgn val="ctr"/>
        <c:lblOffset val="100"/>
        <c:noMultiLvlLbl val="0"/>
      </c:catAx>
      <c:valAx>
        <c:axId val="1581407751"/>
        <c:scaling>
          <c:orientation val="minMax"/>
        </c:scaling>
        <c:delete val="1"/>
        <c:axPos val="l"/>
        <c:numFmt formatCode="General" sourceLinked="1"/>
        <c:majorTickMark val="none"/>
        <c:minorTickMark val="none"/>
        <c:tickLblPos val="nextTo"/>
        <c:crossAx val="1581404167"/>
        <c:crosses val="autoZero"/>
        <c:crossBetween val="between"/>
      </c:valAx>
      <c:spPr>
        <a:noFill/>
        <a:ln>
          <a:noFill/>
        </a:ln>
        <a:effectLst/>
      </c:spPr>
    </c:plotArea>
    <c:plotVisOnly val="1"/>
    <c:dispBlanksAs val="gap"/>
    <c:showDLblsOverMax val="0"/>
  </c:chart>
  <c:spPr>
    <a:solidFill>
      <a:srgbClr val="C0E6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[namithapoojary.xlsx]SLA perform!PivotTable1</c:name>
    <c:fmtId val="0"/>
  </c:pivotSource>
  <c:chart>
    <c:title>
      <c:tx>
        <c:rich>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r>
              <a:rPr lang="en-US"/>
              <a:t>Call Duration Distribution by SLA Status and Callcenter</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'SLA perform'!$C$3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'SLA perform'!$A$4:$B$18</c:f>
              <c:multiLvlStrCache>
                <c:ptCount val="10"/>
                <c:lvl>
                  <c:pt idx="0">
                    <c:v>Above SLA</c:v>
                  </c:pt>
                  <c:pt idx="1">
                    <c:v>Below SLA</c:v>
                  </c:pt>
                  <c:pt idx="2">
                    <c:v>Within SLA</c:v>
                  </c:pt>
                  <c:pt idx="3">
                    <c:v>Above SLA</c:v>
                  </c:pt>
                  <c:pt idx="4">
                    <c:v>Below SLA</c:v>
                  </c:pt>
                  <c:pt idx="5">
                    <c:v>Within SLA</c:v>
                  </c:pt>
                  <c:pt idx="6">
                    <c:v>Above SLA</c:v>
                  </c:pt>
                  <c:pt idx="7">
                    <c:v>Within SLA</c:v>
                  </c:pt>
                  <c:pt idx="8">
                    <c:v>Below SLA</c:v>
                  </c:pt>
                  <c:pt idx="9">
                    <c:v>Within SLA</c:v>
                  </c:pt>
                </c:lvl>
                <c:lvl>
                  <c:pt idx="0">
                    <c:v>Baltimore/MD</c:v>
                  </c:pt>
                  <c:pt idx="3">
                    <c:v>Chicago/IL</c:v>
                  </c:pt>
                  <c:pt idx="6">
                    <c:v>Denver/CO</c:v>
                  </c:pt>
                  <c:pt idx="8">
                    <c:v>Los Angeles/CA</c:v>
                  </c:pt>
                </c:lvl>
              </c:multiLvlStrCache>
            </c:multiLvlStrRef>
          </c:cat>
          <c:val>
            <c:numRef>
              <c:f>'SLA perform'!$C$4:$C$18</c:f>
              <c:numCache>
                <c:formatCode>General</c:formatCode>
                <c:ptCount val="10"/>
                <c:pt idx="0">
                  <c:v>172</c:v>
                </c:pt>
                <c:pt idx="1">
                  <c:v>35</c:v>
                </c:pt>
                <c:pt idx="2">
                  <c:v>440</c:v>
                </c:pt>
                <c:pt idx="3">
                  <c:v>71</c:v>
                </c:pt>
                <c:pt idx="4">
                  <c:v>25</c:v>
                </c:pt>
                <c:pt idx="5">
                  <c:v>99</c:v>
                </c:pt>
                <c:pt idx="6">
                  <c:v>44</c:v>
                </c:pt>
                <c:pt idx="7">
                  <c:v>93</c:v>
                </c:pt>
                <c:pt idx="8">
                  <c:v>226</c:v>
                </c:pt>
                <c:pt idx="9">
                  <c:v>633</c:v>
                </c:pt>
              </c:numCache>
            </c:numRef>
          </c:val>
          <c:extLst>
            <c:ext xmlns:c16="http://schemas.microsoft.com/office/drawing/2014/chart" uri="{C3380CC4-5D6E-409C-BE32-E72D297353CC}">
              <c16:uniqueId val="{00000000-BFD6-44A7-8699-A494236500F0}"/>
            </c:ext>
          </c:extLst>
        </c:ser>
        <c:dLbls>
          <c:showLegendKey val="0"/>
          <c:showVal val="0"/>
          <c:showCatName val="0"/>
          <c:showSerName val="0"/>
          <c:showPercent val="0"/>
          <c:showBubbleSize val="0"/>
        </c:dLbls>
        <c:gapWidth val="219"/>
        <c:overlap val="-27"/>
        <c:axId val="1582053895"/>
        <c:axId val="1581138439"/>
      </c:barChart>
      <c:catAx>
        <c:axId val="1582053895"/>
        <c:scaling>
          <c:orientation val="minMax"/>
        </c:scaling>
        <c:delete val="0"/>
        <c:axPos val="b"/>
        <c:numFmt formatCode="General" sourceLinked="1"/>
        <c:majorTickMark val="none"/>
        <c:minorTickMark val="none"/>
        <c:tickLblPos val="nextTo"/>
        <c:spPr>
          <a:solidFill>
            <a:srgbClr val="C0E6F5"/>
          </a:solid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581138439"/>
        <c:crosses val="autoZero"/>
        <c:auto val="1"/>
        <c:lblAlgn val="ctr"/>
        <c:lblOffset val="100"/>
        <c:noMultiLvlLbl val="0"/>
      </c:catAx>
      <c:valAx>
        <c:axId val="1581138439"/>
        <c:scaling>
          <c:orientation val="minMax"/>
        </c:scaling>
        <c:delete val="1"/>
        <c:axPos val="l"/>
        <c:numFmt formatCode="General" sourceLinked="1"/>
        <c:majorTickMark val="none"/>
        <c:minorTickMark val="none"/>
        <c:tickLblPos val="nextTo"/>
        <c:crossAx val="1582053895"/>
        <c:crosses val="autoZero"/>
        <c:crossBetween val="between"/>
      </c:valAx>
      <c:spPr>
        <a:noFill/>
        <a:ln>
          <a:noFill/>
        </a:ln>
        <a:effectLst/>
      </c:spPr>
    </c:plotArea>
    <c:plotVisOnly val="1"/>
    <c:dispBlanksAs val="gap"/>
    <c:showDLblsOverMax val="0"/>
  </c:chart>
  <c:spPr>
    <a:solidFill>
      <a:srgbClr val="C0E6F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[namithapoojary.xlsx]CSAT Analysis!PivotTable1</c:name>
    <c:fmtId val="0"/>
  </c:pivotSource>
  <c:chart>
    <c:title>
      <c:tx>
        <c:rich>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r>
              <a:rPr lang="en-US"/>
              <a:t>Average CSAT Score by Issue Type and City</a:t>
            </a:r>
          </a:p>
        </c:rich>
      </c:tx>
      <c:layout/>
      <c:overlay val="0"/>
      <c:spPr>
        <a:noFill/>
        <a:ln>
          <a:noFill/>
        </a:ln>
        <a:effectLst/>
      </c:spPr>
      <c:txPr>
        <a:bodyPr rot="0" spcFirstLastPara="1" vertOverflow="ellipsis" vert="horz" wrap="square" anchor="ctr" anchorCtr="1"/>
        <a:lstStyle/>
        <a:p>
          <a:pPr>
            <a:defRPr sz="1400" b="1" i="0" u="sng" strike="noStrike" kern="1200" spc="0" baseline="0">
              <a:solidFill>
                <a:srgbClr val="000000"/>
              </a:solidFill>
              <a:latin typeface="+mn-lt"/>
              <a:ea typeface="+mn-ea"/>
              <a:cs typeface="+mn-cs"/>
            </a:defRPr>
          </a:pPr>
          <a:endParaRPr lang="en-US"/>
        </a:p>
      </c:txPr>
    </c:title>
    <c:autoTitleDeleted val="0"/>
    <c:pivotFmts>
      <c:pivotFmt>
        <c:idx val="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FF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pivotFmt>
    </c:pivotFmts>
    <c:plotArea>
      <c:layout/>
      <c:barChart>
        <c:barDir val="col"/>
        <c:grouping val="clustered"/>
        <c:varyColors val="0"/>
        <c:ser>
          <c:idx val="0"/>
          <c:order val="0"/>
          <c:tx>
            <c:strRef>
              <c:f>'CSAT Analysis'!$C$3</c:f>
              <c:strCache>
                <c:ptCount val="1"/>
                <c:pt idx="0">
                  <c:v>Total</c:v>
                </c:pt>
              </c:strCache>
            </c:strRef>
          </c:tx>
          <c:spPr>
            <a:solidFill>
              <a:schemeClr val="accent1"/>
            </a:solidFill>
            <a:ln>
              <a:noFill/>
            </a:ln>
            <a:effectLst/>
          </c:spPr>
          <c:invertIfNegative val="0"/>
          <c:cat>
            <c:multiLvlStrRef>
              <c:f>'CSAT Analysis'!$A$4:$B$40</c:f>
              <c:multiLvlStrCache>
                <c:ptCount val="33"/>
                <c:lvl>
                  <c:pt idx="0">
                    <c:v>Tuscaloosa</c:v>
                  </c:pt>
                  <c:pt idx="1">
                    <c:v>South Lake Tahoe</c:v>
                  </c:pt>
                  <c:pt idx="2">
                    <c:v>Sacramento</c:v>
                  </c:pt>
                  <c:pt idx="3">
                    <c:v>Rockford</c:v>
                  </c:pt>
                  <c:pt idx="4">
                    <c:v>Providence</c:v>
                  </c:pt>
                  <c:pt idx="5">
                    <c:v>New York City</c:v>
                  </c:pt>
                  <c:pt idx="6">
                    <c:v>Lansing</c:v>
                  </c:pt>
                  <c:pt idx="7">
                    <c:v>Huntington</c:v>
                  </c:pt>
                  <c:pt idx="8">
                    <c:v>Harrisburg</c:v>
                  </c:pt>
                  <c:pt idx="9">
                    <c:v>Gainesville</c:v>
                  </c:pt>
                  <c:pt idx="10">
                    <c:v>Fort Lauderdale</c:v>
                  </c:pt>
                  <c:pt idx="11">
                    <c:v>Erie</c:v>
                  </c:pt>
                  <c:pt idx="12">
                    <c:v>Concord</c:v>
                  </c:pt>
                  <c:pt idx="13">
                    <c:v>Baton Rouge</c:v>
                  </c:pt>
                  <c:pt idx="14">
                    <c:v>Abilene</c:v>
                  </c:pt>
                  <c:pt idx="15">
                    <c:v>Washington</c:v>
                  </c:pt>
                  <c:pt idx="16">
                    <c:v>San Francisco</c:v>
                  </c:pt>
                  <c:pt idx="17">
                    <c:v>Saint Paul</c:v>
                  </c:pt>
                  <c:pt idx="18">
                    <c:v>Richmond</c:v>
                  </c:pt>
                  <c:pt idx="19">
                    <c:v>Pensacola</c:v>
                  </c:pt>
                  <c:pt idx="20">
                    <c:v>Lubbock</c:v>
                  </c:pt>
                  <c:pt idx="21">
                    <c:v>Long Beach</c:v>
                  </c:pt>
                  <c:pt idx="22">
                    <c:v>Johnstown</c:v>
                  </c:pt>
                  <c:pt idx="23">
                    <c:v>Des Moines</c:v>
                  </c:pt>
                  <c:pt idx="24">
                    <c:v>Chicago</c:v>
                  </c:pt>
                  <c:pt idx="25">
                    <c:v>Pasadena</c:v>
                  </c:pt>
                  <c:pt idx="26">
                    <c:v>New York City</c:v>
                  </c:pt>
                  <c:pt idx="27">
                    <c:v>Minneapolis</c:v>
                  </c:pt>
                  <c:pt idx="28">
                    <c:v>Kansas City</c:v>
                  </c:pt>
                  <c:pt idx="29">
                    <c:v>Houston</c:v>
                  </c:pt>
                  <c:pt idx="30">
                    <c:v>Fort Wayne</c:v>
                  </c:pt>
                  <c:pt idx="31">
                    <c:v>Fort Pierce</c:v>
                  </c:pt>
                  <c:pt idx="32">
                    <c:v>Corpus Christi</c:v>
                  </c:pt>
                </c:lvl>
                <c:lvl>
                  <c:pt idx="0">
                    <c:v>Billing Question</c:v>
                  </c:pt>
                  <c:pt idx="15">
                    <c:v>Payments</c:v>
                  </c:pt>
                  <c:pt idx="25">
                    <c:v>Service Outage</c:v>
                  </c:pt>
                </c:lvl>
              </c:multiLvlStrCache>
            </c:multiLvlStrRef>
          </c:cat>
          <c:val>
            <c:numRef>
              <c:f>'CSAT Analysis'!$C$4:$C$40</c:f>
              <c:numCache>
                <c:formatCode>General</c:formatCode>
                <c:ptCount val="33"/>
                <c:pt idx="0">
                  <c:v>8</c:v>
                </c:pt>
                <c:pt idx="1">
                  <c:v>9</c:v>
                </c:pt>
                <c:pt idx="2">
                  <c:v>9</c:v>
                </c:pt>
                <c:pt idx="3">
                  <c:v>7</c:v>
                </c:pt>
                <c:pt idx="4">
                  <c:v>7</c:v>
                </c:pt>
                <c:pt idx="5">
                  <c:v>7</c:v>
                </c:pt>
                <c:pt idx="6">
                  <c:v>9</c:v>
                </c:pt>
                <c:pt idx="7">
                  <c:v>7</c:v>
                </c:pt>
                <c:pt idx="8">
                  <c:v>9</c:v>
                </c:pt>
                <c:pt idx="9">
                  <c:v>7</c:v>
                </c:pt>
                <c:pt idx="10">
                  <c:v>8</c:v>
                </c:pt>
                <c:pt idx="11">
                  <c:v>10</c:v>
                </c:pt>
                <c:pt idx="12">
                  <c:v>8</c:v>
                </c:pt>
                <c:pt idx="13">
                  <c:v>7</c:v>
                </c:pt>
                <c:pt idx="14">
                  <c:v>10</c:v>
                </c:pt>
                <c:pt idx="15">
                  <c:v>4</c:v>
                </c:pt>
                <c:pt idx="16">
                  <c:v>9</c:v>
                </c:pt>
                <c:pt idx="17">
                  <c:v>5</c:v>
                </c:pt>
                <c:pt idx="18">
                  <c:v>4</c:v>
                </c:pt>
                <c:pt idx="19">
                  <c:v>10</c:v>
                </c:pt>
                <c:pt idx="20">
                  <c:v>9</c:v>
                </c:pt>
                <c:pt idx="21">
                  <c:v>4</c:v>
                </c:pt>
                <c:pt idx="22">
                  <c:v>7</c:v>
                </c:pt>
                <c:pt idx="23">
                  <c:v>6</c:v>
                </c:pt>
                <c:pt idx="24">
                  <c:v>8</c:v>
                </c:pt>
                <c:pt idx="25">
                  <c:v>2</c:v>
                </c:pt>
                <c:pt idx="26">
                  <c:v>5</c:v>
                </c:pt>
                <c:pt idx="27">
                  <c:v>3</c:v>
                </c:pt>
                <c:pt idx="28">
                  <c:v>8</c:v>
                </c:pt>
                <c:pt idx="29">
                  <c:v>6</c:v>
                </c:pt>
                <c:pt idx="30">
                  <c:v>8</c:v>
                </c:pt>
                <c:pt idx="31">
                  <c:v>4</c:v>
                </c:pt>
                <c:pt idx="32">
                  <c:v>4</c:v>
                </c:pt>
              </c:numCache>
            </c:numRef>
          </c:val>
          <c:extLst>
            <c:ext xmlns:c16="http://schemas.microsoft.com/office/drawing/2014/chart" uri="{C3380CC4-5D6E-409C-BE32-E72D297353CC}">
              <c16:uniqueId val="{0000003E-DCE4-4CB1-BE2E-51ECB3E56E31}"/>
            </c:ext>
          </c:extLst>
        </c:ser>
        <c:dLbls>
          <c:showLegendKey val="0"/>
          <c:showVal val="0"/>
          <c:showCatName val="0"/>
          <c:showSerName val="0"/>
          <c:showPercent val="0"/>
          <c:showBubbleSize val="0"/>
        </c:dLbls>
        <c:gapWidth val="242"/>
        <c:overlap val="-27"/>
        <c:axId val="1316206599"/>
        <c:axId val="1316208647"/>
      </c:barChart>
      <c:catAx>
        <c:axId val="1316206599"/>
        <c:scaling>
          <c:orientation val="maxMin"/>
        </c:scaling>
        <c:delete val="0"/>
        <c:axPos val="b"/>
        <c:numFmt formatCode="General" sourceLinked="1"/>
        <c:majorTickMark val="out"/>
        <c:minorTickMark val="none"/>
        <c:tickLblPos val="nextTo"/>
        <c:spPr>
          <a:noFill/>
          <a:ln w="9525" cap="flat" cmpd="sng" algn="ctr">
            <a:solidFill>
              <a:srgbClr val="000000"/>
            </a:solidFill>
            <a:prstDash val="solid"/>
            <a:round/>
          </a:ln>
          <a:effectLst/>
        </c:spPr>
        <c:txPr>
          <a:bodyPr rot="-60000000" spcFirstLastPara="1" vertOverflow="ellipsis" vert="horz" wrap="square" anchor="ctr" anchorCtr="1"/>
          <a:lstStyle/>
          <a:p>
            <a:pPr>
              <a:defRPr sz="900" b="1" i="0" u="none" strike="noStrike" kern="1200" baseline="0">
                <a:solidFill>
                  <a:srgbClr val="000000"/>
                </a:solidFill>
                <a:latin typeface="+mn-lt"/>
                <a:ea typeface="+mn-ea"/>
                <a:cs typeface="+mn-cs"/>
              </a:defRPr>
            </a:pPr>
            <a:endParaRPr lang="en-US"/>
          </a:p>
        </c:txPr>
        <c:crossAx val="1316208647"/>
        <c:crosses val="autoZero"/>
        <c:auto val="1"/>
        <c:lblAlgn val="ctr"/>
        <c:lblOffset val="100"/>
        <c:noMultiLvlLbl val="0"/>
      </c:catAx>
      <c:valAx>
        <c:axId val="1316208647"/>
        <c:scaling>
          <c:orientation val="minMax"/>
        </c:scaling>
        <c:delete val="1"/>
        <c:axPos val="r"/>
        <c:numFmt formatCode="General" sourceLinked="1"/>
        <c:majorTickMark val="none"/>
        <c:minorTickMark val="none"/>
        <c:tickLblPos val="nextTo"/>
        <c:crossAx val="1316206599"/>
        <c:crosses val="autoZero"/>
        <c:crossBetween val="between"/>
      </c:valAx>
      <c:spPr>
        <a:noFill/>
        <a:ln>
          <a:noFill/>
        </a:ln>
        <a:effectLst/>
      </c:spPr>
    </c:plotArea>
    <c:plotVisOnly val="1"/>
    <c:dispBlanksAs val="gap"/>
    <c:showDLblsOverMax val="0"/>
  </c:chart>
  <c:spPr>
    <a:solidFill>
      <a:srgbClr val="C0E6F5"/>
    </a:solidFill>
    <a:ln w="9525" cap="flat" cmpd="sng" algn="ctr">
      <a:solidFill>
        <a:srgbClr val="C0E6F5"/>
      </a:solid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[namithapoojary.xlsx]sentiment analysis!PivotTable3</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call Duration by Sentiment and Channel</a:t>
            </a:r>
          </a:p>
        </c:rich>
      </c:tx>
      <c:layout>
        <c:manualLayout>
          <c:xMode val="edge"/>
          <c:yMode val="edge"/>
          <c:x val="0.11908426100277349"/>
          <c:y val="2.06743809420192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2.0123487435810543E-2"/>
          <c:y val="0.12686327696724362"/>
          <c:w val="0.96384552177485616"/>
          <c:h val="0.49385577681524434"/>
        </c:manualLayout>
      </c:layout>
      <c:barChart>
        <c:barDir val="col"/>
        <c:grouping val="clustered"/>
        <c:varyColors val="0"/>
        <c:ser>
          <c:idx val="0"/>
          <c:order val="0"/>
          <c:tx>
            <c:strRef>
              <c:f>'sentiment analysis'!$C$3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multiLvlStrRef>
              <c:f>'sentiment analysis'!$A$4:$B$28</c:f>
              <c:multiLvlStrCache>
                <c:ptCount val="19"/>
                <c:lvl>
                  <c:pt idx="0">
                    <c:v>Call-Center</c:v>
                  </c:pt>
                  <c:pt idx="1">
                    <c:v>Chatbot</c:v>
                  </c:pt>
                  <c:pt idx="2">
                    <c:v>Email</c:v>
                  </c:pt>
                  <c:pt idx="3">
                    <c:v>Web</c:v>
                  </c:pt>
                  <c:pt idx="4">
                    <c:v>Call-Center</c:v>
                  </c:pt>
                  <c:pt idx="5">
                    <c:v>Chatbot</c:v>
                  </c:pt>
                  <c:pt idx="6">
                    <c:v>Email</c:v>
                  </c:pt>
                  <c:pt idx="7">
                    <c:v>Web</c:v>
                  </c:pt>
                  <c:pt idx="8">
                    <c:v>Call-Center</c:v>
                  </c:pt>
                  <c:pt idx="9">
                    <c:v>Chatbot</c:v>
                  </c:pt>
                  <c:pt idx="10">
                    <c:v>Email</c:v>
                  </c:pt>
                  <c:pt idx="11">
                    <c:v>Web</c:v>
                  </c:pt>
                  <c:pt idx="12">
                    <c:v>Call-Center</c:v>
                  </c:pt>
                  <c:pt idx="13">
                    <c:v>Chatbot</c:v>
                  </c:pt>
                  <c:pt idx="14">
                    <c:v>Email</c:v>
                  </c:pt>
                  <c:pt idx="15">
                    <c:v>Web</c:v>
                  </c:pt>
                  <c:pt idx="16">
                    <c:v>Call-Center</c:v>
                  </c:pt>
                  <c:pt idx="17">
                    <c:v>Chatbot</c:v>
                  </c:pt>
                  <c:pt idx="18">
                    <c:v>Web</c:v>
                  </c:pt>
                </c:lvl>
                <c:lvl>
                  <c:pt idx="0">
                    <c:v>Negative</c:v>
                  </c:pt>
                  <c:pt idx="4">
                    <c:v>Neutral</c:v>
                  </c:pt>
                  <c:pt idx="8">
                    <c:v>Positive</c:v>
                  </c:pt>
                  <c:pt idx="12">
                    <c:v>Very Negative</c:v>
                  </c:pt>
                  <c:pt idx="16">
                    <c:v>Very Positive</c:v>
                  </c:pt>
                </c:lvl>
              </c:multiLvlStrCache>
            </c:multiLvlStrRef>
          </c:cat>
          <c:val>
            <c:numRef>
              <c:f>'sentiment analysis'!$C$4:$C$28</c:f>
              <c:numCache>
                <c:formatCode>General</c:formatCode>
                <c:ptCount val="19"/>
                <c:pt idx="0">
                  <c:v>322</c:v>
                </c:pt>
                <c:pt idx="1">
                  <c:v>235</c:v>
                </c:pt>
                <c:pt idx="2">
                  <c:v>31</c:v>
                </c:pt>
                <c:pt idx="3">
                  <c:v>215</c:v>
                </c:pt>
                <c:pt idx="4">
                  <c:v>54</c:v>
                </c:pt>
                <c:pt idx="5">
                  <c:v>85</c:v>
                </c:pt>
                <c:pt idx="6">
                  <c:v>39</c:v>
                </c:pt>
                <c:pt idx="7">
                  <c:v>6</c:v>
                </c:pt>
                <c:pt idx="8">
                  <c:v>26</c:v>
                </c:pt>
                <c:pt idx="9">
                  <c:v>80</c:v>
                </c:pt>
                <c:pt idx="10">
                  <c:v>93</c:v>
                </c:pt>
                <c:pt idx="11">
                  <c:v>46</c:v>
                </c:pt>
                <c:pt idx="12">
                  <c:v>70</c:v>
                </c:pt>
                <c:pt idx="13">
                  <c:v>233</c:v>
                </c:pt>
                <c:pt idx="14">
                  <c:v>60</c:v>
                </c:pt>
                <c:pt idx="15">
                  <c:v>74</c:v>
                </c:pt>
                <c:pt idx="16">
                  <c:v>85</c:v>
                </c:pt>
                <c:pt idx="17">
                  <c:v>8</c:v>
                </c:pt>
                <c:pt idx="18">
                  <c:v>76</c:v>
                </c:pt>
              </c:numCache>
            </c:numRef>
          </c:val>
          <c:extLst>
            <c:ext xmlns:c16="http://schemas.microsoft.com/office/drawing/2014/chart" uri="{C3380CC4-5D6E-409C-BE32-E72D297353CC}">
              <c16:uniqueId val="{00000000-B5FC-41F0-B1FB-5106F86B3747}"/>
            </c:ext>
          </c:extLst>
        </c:ser>
        <c:dLbls>
          <c:dLblPos val="inEnd"/>
          <c:showLegendKey val="0"/>
          <c:showVal val="1"/>
          <c:showCatName val="0"/>
          <c:showSerName val="0"/>
          <c:showPercent val="0"/>
          <c:showBubbleSize val="0"/>
        </c:dLbls>
        <c:gapWidth val="65"/>
        <c:axId val="1468099591"/>
        <c:axId val="1468064775"/>
      </c:barChart>
      <c:catAx>
        <c:axId val="146809959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1" i="0" u="none" strike="noStrike" kern="1200" cap="all" baseline="0">
                <a:solidFill>
                  <a:schemeClr val="tx1"/>
                </a:solidFill>
                <a:latin typeface="+mn-lt"/>
                <a:ea typeface="+mn-ea"/>
                <a:cs typeface="+mn-cs"/>
              </a:defRPr>
            </a:pPr>
            <a:endParaRPr lang="en-US"/>
          </a:p>
        </c:txPr>
        <c:crossAx val="1468064775"/>
        <c:crosses val="autoZero"/>
        <c:auto val="1"/>
        <c:lblAlgn val="ctr"/>
        <c:lblOffset val="100"/>
        <c:noMultiLvlLbl val="0"/>
      </c:catAx>
      <c:valAx>
        <c:axId val="1468064775"/>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468099591"/>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[namithapoojary.xlsx]operation perform!PivotTable2</c:name>
    <c:fmtId val="5"/>
  </c:pivotSource>
  <c:chart>
    <c:title>
      <c:tx>
        <c:rich>
          <a:bodyPr rot="0" spcFirstLastPara="1" vertOverflow="ellipsis" vert="horz" wrap="square" anchor="ctr" anchorCtr="1"/>
          <a:lstStyle/>
          <a:p>
            <a:pPr>
              <a:defRPr sz="12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t>Total call Duration by Channel and Callcentre</a:t>
            </a:r>
          </a:p>
        </c:rich>
      </c:tx>
      <c:layout/>
      <c:overlay val="0"/>
      <c:spPr>
        <a:noFill/>
        <a:ln>
          <a:noFill/>
        </a:ln>
        <a:effectLst/>
      </c:spPr>
      <c:txPr>
        <a:bodyPr rot="0" spcFirstLastPara="1" vertOverflow="ellipsis" vert="horz" wrap="square" anchor="ctr" anchorCtr="1"/>
        <a:lstStyle/>
        <a:p>
          <a:pPr>
            <a:defRPr sz="12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layout>
            <c:manualLayout>
              <c:x val="0"/>
              <c:y val="-5.278039585296889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dLbl>
          <c:idx val="0"/>
          <c:layout>
            <c:manualLayout>
              <c:x val="0"/>
              <c:y val="-0.1055607917059378"/>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dLbl>
          <c:idx val="0"/>
          <c:layout>
            <c:manualLayout>
              <c:x val="-1.3974747249203461E-16"/>
              <c:y val="-7.540056550424127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dLbl>
          <c:idx val="0"/>
          <c:layout>
            <c:manualLayout>
              <c:x val="0"/>
              <c:y val="-4.5240339302544771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4.2305859933301569E-2"/>
                  <c:h val="5.7304429783223372E-2"/>
                </c:manualLayout>
              </c15:layout>
            </c:ext>
          </c:extLst>
        </c:dLbl>
      </c:pivotFmt>
      <c:pivotFmt>
        <c:idx val="5"/>
        <c:dLbl>
          <c:idx val="0"/>
          <c:layout>
            <c:manualLayout>
              <c:x val="0"/>
              <c:y val="1.1310084825636193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dLbl>
          <c:idx val="0"/>
          <c:layout>
            <c:manualLayout>
              <c:x val="-1.9056693663649356E-3"/>
              <c:y val="-4.901036757775690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dLbl>
          <c:idx val="0"/>
          <c:layout>
            <c:manualLayout>
              <c:x val="1.9056693663647959E-3"/>
              <c:y val="-7.16305372290292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dLbl>
          <c:idx val="0"/>
          <c:layout>
            <c:manualLayout>
              <c:x val="0"/>
              <c:y val="-0.1131008482563619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dLbl>
          <c:idx val="0"/>
          <c:layout>
            <c:manualLayout>
              <c:x val="0"/>
              <c:y val="-9.80207351555136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1"/>
        <c:dLbl>
          <c:idx val="0"/>
          <c:layout>
            <c:manualLayout>
              <c:x val="-1.9056693663649356E-3"/>
              <c:y val="-4.901036757775690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2"/>
        <c:dLbl>
          <c:idx val="0"/>
          <c:layout>
            <c:manualLayout>
              <c:x val="0"/>
              <c:y val="-9.80207351555136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3"/>
        <c:dLbl>
          <c:idx val="0"/>
          <c:layout>
            <c:manualLayout>
              <c:x val="0"/>
              <c:y val="1.1310084825636193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4"/>
        <c:dLbl>
          <c:idx val="0"/>
          <c:layout>
            <c:manualLayout>
              <c:x val="0"/>
              <c:y val="-4.5240339302544771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4.2305859933301569E-2"/>
                  <c:h val="5.7304429783223372E-2"/>
                </c:manualLayout>
              </c15:layout>
            </c:ext>
          </c:extLst>
        </c:dLbl>
      </c:pivotFmt>
      <c:pivotFmt>
        <c:idx val="15"/>
        <c:dLbl>
          <c:idx val="0"/>
          <c:layout>
            <c:manualLayout>
              <c:x val="0"/>
              <c:y val="-5.278039585296889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6"/>
        <c:dLbl>
          <c:idx val="0"/>
          <c:layout>
            <c:manualLayout>
              <c:x val="0"/>
              <c:y val="-0.1055607917059378"/>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7"/>
        <c:dLbl>
          <c:idx val="0"/>
          <c:layout>
            <c:manualLayout>
              <c:x val="-1.3974747249203461E-16"/>
              <c:y val="-7.540056550424127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8"/>
        <c:dLbl>
          <c:idx val="0"/>
          <c:layout>
            <c:manualLayout>
              <c:x val="0"/>
              <c:y val="-0.1131008482563619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19"/>
        <c:dLbl>
          <c:idx val="0"/>
          <c:layout>
            <c:manualLayout>
              <c:x val="1.9056693663647959E-3"/>
              <c:y val="-7.16305372290292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1"/>
        <c:dLbl>
          <c:idx val="0"/>
          <c:layout>
            <c:manualLayout>
              <c:x val="-1.9056693663649356E-3"/>
              <c:y val="-4.9010367577756904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2"/>
        <c:dLbl>
          <c:idx val="0"/>
          <c:layout>
            <c:manualLayout>
              <c:x val="0"/>
              <c:y val="-9.8020735155513669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3"/>
        <c:dLbl>
          <c:idx val="0"/>
          <c:layout>
            <c:manualLayout>
              <c:x val="0"/>
              <c:y val="1.1310084825636193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4"/>
        <c:dLbl>
          <c:idx val="0"/>
          <c:layout>
            <c:manualLayout>
              <c:x val="0"/>
              <c:y val="-4.5240339302544771E-2"/>
            </c:manualLayout>
          </c:layout>
          <c:dLblPos val="ctr"/>
          <c:showLegendKey val="0"/>
          <c:showVal val="1"/>
          <c:showCatName val="0"/>
          <c:showSerName val="0"/>
          <c:showPercent val="0"/>
          <c:showBubbleSize val="0"/>
          <c:separator>, </c:separator>
          <c:extLst>
            <c:ext xmlns:c15="http://schemas.microsoft.com/office/drawing/2012/chart" uri="{CE6537A1-D6FC-4f65-9D91-7224C49458BB}">
              <c15:layout>
                <c:manualLayout>
                  <c:w val="4.2305859933301569E-2"/>
                  <c:h val="5.7304429783223372E-2"/>
                </c:manualLayout>
              </c15:layout>
            </c:ext>
          </c:extLst>
        </c:dLbl>
      </c:pivotFmt>
      <c:pivotFmt>
        <c:idx val="25"/>
        <c:dLbl>
          <c:idx val="0"/>
          <c:layout>
            <c:manualLayout>
              <c:x val="0"/>
              <c:y val="-5.278039585296889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6"/>
        <c:dLbl>
          <c:idx val="0"/>
          <c:layout>
            <c:manualLayout>
              <c:x val="0"/>
              <c:y val="-0.1055607917059378"/>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7"/>
        <c:dLbl>
          <c:idx val="0"/>
          <c:layout>
            <c:manualLayout>
              <c:x val="-1.3974747249203461E-16"/>
              <c:y val="-7.5400565504241276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8"/>
        <c:dLbl>
          <c:idx val="0"/>
          <c:layout>
            <c:manualLayout>
              <c:x val="0"/>
              <c:y val="-0.1131008482563619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29"/>
        <c:dLbl>
          <c:idx val="0"/>
          <c:layout>
            <c:manualLayout>
              <c:x val="1.9056693663647959E-3"/>
              <c:y val="-7.163053722902922E-2"/>
            </c:manualLayout>
          </c:layout>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0"/>
      </c:pivotFmt>
      <c:pivotFmt>
        <c:idx val="31"/>
      </c:pivotFmt>
      <c:pivotFmt>
        <c:idx val="32"/>
      </c:pivotFmt>
      <c:pivotFmt>
        <c:idx val="33"/>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4"/>
        <c:dLbl>
          <c:idx val="0"/>
          <c:layout>
            <c:manualLayout>
              <c:x val="3.5286707275091001E-3"/>
              <c:y val="-6.107783279214808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5"/>
      </c:pivotFmt>
      <c:pivotFmt>
        <c:idx val="36"/>
        <c:dLbl>
          <c:idx val="0"/>
          <c:layout>
            <c:manualLayout>
              <c:x val="-1.2938309869740349E-16"/>
              <c:y val="-6.467064648580385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7"/>
      </c:pivotFmt>
      <c:pivotFmt>
        <c:idx val="38"/>
      </c:pivotFmt>
      <c:pivotFmt>
        <c:idx val="39"/>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w="9525">
              <a:solidFill>
                <a:schemeClr val="accent1"/>
              </a:solidFill>
              <a:round/>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dLbl>
          <c:idx val="0"/>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0"/>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1"/>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2"/>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pivotFmt>
      <c:pivotFmt>
        <c:idx val="43"/>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marker>
          <c:symbol val="none"/>
        </c:marker>
      </c:pivotFmt>
    </c:pivotFmts>
    <c:plotArea>
      <c:layout/>
      <c:barChart>
        <c:barDir val="col"/>
        <c:grouping val="stacked"/>
        <c:varyColors val="0"/>
        <c:ser>
          <c:idx val="0"/>
          <c:order val="0"/>
          <c:tx>
            <c:strRef>
              <c:f>'operation perform'!$C$3</c:f>
              <c:strCache>
                <c:ptCount val="1"/>
                <c:pt idx="0">
                  <c:v>Total</c:v>
                </c:pt>
              </c:strCache>
            </c:strRef>
          </c:tx>
          <c:spPr>
            <a:gradFill rotWithShape="1">
              <a:gsLst>
                <a:gs pos="0">
                  <a:schemeClr val="accent1">
                    <a:tint val="100000"/>
                    <a:shade val="85000"/>
                    <a:satMod val="100000"/>
                    <a:lumMod val="100000"/>
                  </a:schemeClr>
                </a:gs>
                <a:gs pos="100000">
                  <a:schemeClr val="accent1">
                    <a:tint val="90000"/>
                    <a:shade val="100000"/>
                    <a:satMod val="150000"/>
                    <a:lumMod val="100000"/>
                  </a:schemeClr>
                </a:gs>
              </a:gsLst>
              <a:path path="circle">
                <a:fillToRect l="100000" t="100000" r="100000" b="100000"/>
              </a:path>
            </a:gradFill>
            <a:ln>
              <a:noFill/>
            </a:ln>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rgbClr r="0" g="0" b="0">
                  <a:shade val="35000"/>
                  <a:satMod val="160000"/>
                </a:scrgbClr>
              </a:contourClr>
            </a:sp3d>
          </c:spPr>
          <c:invertIfNegative val="0"/>
          <c:dLbls>
            <c:delete val="1"/>
          </c:dLbls>
          <c:cat>
            <c:multiLvlStrRef>
              <c:f>'operation perform'!$A$4:$B$21</c:f>
              <c:multiLvlStrCache>
                <c:ptCount val="13"/>
                <c:lvl>
                  <c:pt idx="0">
                    <c:v>Baltimore/MD</c:v>
                  </c:pt>
                  <c:pt idx="1">
                    <c:v>Chicago/IL</c:v>
                  </c:pt>
                  <c:pt idx="2">
                    <c:v>Denver/CO</c:v>
                  </c:pt>
                  <c:pt idx="3">
                    <c:v>Los Angeles/CA</c:v>
                  </c:pt>
                  <c:pt idx="4">
                    <c:v>Baltimore/MD</c:v>
                  </c:pt>
                  <c:pt idx="5">
                    <c:v>Chicago/IL</c:v>
                  </c:pt>
                  <c:pt idx="6">
                    <c:v>Denver/CO</c:v>
                  </c:pt>
                  <c:pt idx="7">
                    <c:v>Los Angeles/CA</c:v>
                  </c:pt>
                  <c:pt idx="8">
                    <c:v>Denver/CO</c:v>
                  </c:pt>
                  <c:pt idx="9">
                    <c:v>Los Angeles/CA</c:v>
                  </c:pt>
                  <c:pt idx="10">
                    <c:v>Baltimore/MD</c:v>
                  </c:pt>
                  <c:pt idx="11">
                    <c:v>Denver/CO</c:v>
                  </c:pt>
                  <c:pt idx="12">
                    <c:v>Los Angeles/CA</c:v>
                  </c:pt>
                </c:lvl>
                <c:lvl>
                  <c:pt idx="0">
                    <c:v>Call-Center</c:v>
                  </c:pt>
                  <c:pt idx="4">
                    <c:v>Chatbot</c:v>
                  </c:pt>
                  <c:pt idx="8">
                    <c:v>Email</c:v>
                  </c:pt>
                  <c:pt idx="10">
                    <c:v>Web</c:v>
                  </c:pt>
                </c:lvl>
              </c:multiLvlStrCache>
            </c:multiLvlStrRef>
          </c:cat>
          <c:val>
            <c:numRef>
              <c:f>'operation perform'!$C$4:$C$21</c:f>
              <c:numCache>
                <c:formatCode>General</c:formatCode>
                <c:ptCount val="13"/>
                <c:pt idx="0">
                  <c:v>191</c:v>
                </c:pt>
                <c:pt idx="1">
                  <c:v>34</c:v>
                </c:pt>
                <c:pt idx="2">
                  <c:v>92</c:v>
                </c:pt>
                <c:pt idx="3">
                  <c:v>240</c:v>
                </c:pt>
                <c:pt idx="4">
                  <c:v>353</c:v>
                </c:pt>
                <c:pt idx="5">
                  <c:v>161</c:v>
                </c:pt>
                <c:pt idx="6">
                  <c:v>6</c:v>
                </c:pt>
                <c:pt idx="7">
                  <c:v>121</c:v>
                </c:pt>
                <c:pt idx="8">
                  <c:v>8</c:v>
                </c:pt>
                <c:pt idx="9">
                  <c:v>215</c:v>
                </c:pt>
                <c:pt idx="10">
                  <c:v>103</c:v>
                </c:pt>
                <c:pt idx="11">
                  <c:v>31</c:v>
                </c:pt>
                <c:pt idx="12">
                  <c:v>283</c:v>
                </c:pt>
              </c:numCache>
            </c:numRef>
          </c:val>
          <c:extLst>
            <c:ext xmlns:c16="http://schemas.microsoft.com/office/drawing/2014/chart" uri="{C3380CC4-5D6E-409C-BE32-E72D297353CC}">
              <c16:uniqueId val="{00000009-722A-48DF-83A4-2B7E74F7C516}"/>
            </c:ext>
          </c:extLst>
        </c:ser>
        <c:dLbls>
          <c:dLblPos val="ctr"/>
          <c:showLegendKey val="0"/>
          <c:showVal val="1"/>
          <c:showCatName val="0"/>
          <c:showSerName val="0"/>
          <c:showPercent val="0"/>
          <c:showBubbleSize val="0"/>
        </c:dLbls>
        <c:gapWidth val="150"/>
        <c:overlap val="100"/>
        <c:axId val="1581404167"/>
        <c:axId val="1581407751"/>
      </c:barChart>
      <c:catAx>
        <c:axId val="1581404167"/>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581407751"/>
        <c:crosses val="autoZero"/>
        <c:auto val="1"/>
        <c:lblAlgn val="ctr"/>
        <c:lblOffset val="100"/>
        <c:noMultiLvlLbl val="0"/>
      </c:catAx>
      <c:valAx>
        <c:axId val="1581407751"/>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1581404167"/>
        <c:crosses val="autoZero"/>
        <c:crossBetween val="between"/>
      </c:valAx>
      <c:spPr>
        <a:noFill/>
        <a:ln>
          <a:noFill/>
        </a:ln>
        <a:effectLst/>
      </c:spPr>
    </c:plotArea>
    <c:plotVisOnly val="1"/>
    <c:dispBlanksAs val="gap"/>
    <c:showDLblsOverMax val="0"/>
  </c:chart>
  <c:spPr>
    <a:solidFill>
      <a:schemeClr val="bg1">
        <a:lumMod val="85000"/>
      </a:schemeClr>
    </a:solidFill>
    <a:ln>
      <a:solidFill>
        <a:schemeClr val="tx1"/>
      </a:solidFill>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[namithapoojary.xlsx]SLA perform!PivotTable1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Call Duration Distribution by SLA Status and Callcenter</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4.7101361493692886E-2"/>
          <c:y val="0.23166853303471441"/>
          <c:w val="0.95094760312151616"/>
          <c:h val="0.46878768373438201"/>
        </c:manualLayout>
      </c:layout>
      <c:barChart>
        <c:barDir val="col"/>
        <c:grouping val="clustered"/>
        <c:varyColors val="0"/>
        <c:ser>
          <c:idx val="0"/>
          <c:order val="0"/>
          <c:tx>
            <c:strRef>
              <c:f>'SLA perform'!$C$3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multiLvlStrRef>
              <c:f>'SLA perform'!$A$4:$B$18</c:f>
              <c:multiLvlStrCache>
                <c:ptCount val="10"/>
                <c:lvl>
                  <c:pt idx="0">
                    <c:v>Above SLA</c:v>
                  </c:pt>
                  <c:pt idx="1">
                    <c:v>Below SLA</c:v>
                  </c:pt>
                  <c:pt idx="2">
                    <c:v>Within SLA</c:v>
                  </c:pt>
                  <c:pt idx="3">
                    <c:v>Above SLA</c:v>
                  </c:pt>
                  <c:pt idx="4">
                    <c:v>Below SLA</c:v>
                  </c:pt>
                  <c:pt idx="5">
                    <c:v>Within SLA</c:v>
                  </c:pt>
                  <c:pt idx="6">
                    <c:v>Above SLA</c:v>
                  </c:pt>
                  <c:pt idx="7">
                    <c:v>Within SLA</c:v>
                  </c:pt>
                  <c:pt idx="8">
                    <c:v>Below SLA</c:v>
                  </c:pt>
                  <c:pt idx="9">
                    <c:v>Within SLA</c:v>
                  </c:pt>
                </c:lvl>
                <c:lvl>
                  <c:pt idx="0">
                    <c:v>Baltimore/MD</c:v>
                  </c:pt>
                  <c:pt idx="3">
                    <c:v>Chicago/IL</c:v>
                  </c:pt>
                  <c:pt idx="6">
                    <c:v>Denver/CO</c:v>
                  </c:pt>
                  <c:pt idx="8">
                    <c:v>Los Angeles/CA</c:v>
                  </c:pt>
                </c:lvl>
              </c:multiLvlStrCache>
            </c:multiLvlStrRef>
          </c:cat>
          <c:val>
            <c:numRef>
              <c:f>'SLA perform'!$C$4:$C$18</c:f>
              <c:numCache>
                <c:formatCode>General</c:formatCode>
                <c:ptCount val="10"/>
                <c:pt idx="0">
                  <c:v>172</c:v>
                </c:pt>
                <c:pt idx="1">
                  <c:v>35</c:v>
                </c:pt>
                <c:pt idx="2">
                  <c:v>440</c:v>
                </c:pt>
                <c:pt idx="3">
                  <c:v>71</c:v>
                </c:pt>
                <c:pt idx="4">
                  <c:v>25</c:v>
                </c:pt>
                <c:pt idx="5">
                  <c:v>99</c:v>
                </c:pt>
                <c:pt idx="6">
                  <c:v>44</c:v>
                </c:pt>
                <c:pt idx="7">
                  <c:v>93</c:v>
                </c:pt>
                <c:pt idx="8">
                  <c:v>226</c:v>
                </c:pt>
                <c:pt idx="9">
                  <c:v>633</c:v>
                </c:pt>
              </c:numCache>
            </c:numRef>
          </c:val>
          <c:extLst>
            <c:ext xmlns:c16="http://schemas.microsoft.com/office/drawing/2014/chart" uri="{C3380CC4-5D6E-409C-BE32-E72D297353CC}">
              <c16:uniqueId val="{00000000-2CF0-4B79-A83C-AD8BD8EC28DC}"/>
            </c:ext>
          </c:extLst>
        </c:ser>
        <c:dLbls>
          <c:dLblPos val="inEnd"/>
          <c:showLegendKey val="0"/>
          <c:showVal val="1"/>
          <c:showCatName val="0"/>
          <c:showSerName val="0"/>
          <c:showPercent val="0"/>
          <c:showBubbleSize val="0"/>
        </c:dLbls>
        <c:gapWidth val="65"/>
        <c:axId val="1582053895"/>
        <c:axId val="1581138439"/>
      </c:barChart>
      <c:catAx>
        <c:axId val="15820538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81138439"/>
        <c:crosses val="autoZero"/>
        <c:auto val="1"/>
        <c:lblAlgn val="ctr"/>
        <c:lblOffset val="100"/>
        <c:noMultiLvlLbl val="0"/>
      </c:catAx>
      <c:valAx>
        <c:axId val="1581138439"/>
        <c:scaling>
          <c:orientation val="minMax"/>
        </c:scaling>
        <c:delete val="1"/>
        <c:axPos val="l"/>
        <c:majorGridlines>
          <c:spPr>
            <a:ln w="9525" cap="flat" cmpd="sng" algn="ctr">
              <a:noFill/>
              <a:round/>
            </a:ln>
            <a:effectLst/>
          </c:spPr>
        </c:majorGridlines>
        <c:numFmt formatCode="General" sourceLinked="1"/>
        <c:majorTickMark val="none"/>
        <c:minorTickMark val="none"/>
        <c:tickLblPos val="nextTo"/>
        <c:crossAx val="1582053895"/>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[namithapoojary.xlsx]CSAT Analysis!PivotTable1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Average CSAT Score by Issue Type and City</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alpha val="85000"/>
            </a:schemeClr>
          </a:solidFill>
          <a:ln w="9525" cap="flat" cmpd="sng" algn="ctr">
            <a:solidFill>
              <a:schemeClr val="lt1">
                <a:alpha val="50000"/>
              </a:schemeClr>
            </a:solidFill>
            <a:round/>
          </a:ln>
          <a:effectLst/>
        </c:spPr>
        <c:marker>
          <c:spPr>
            <a:solidFill>
              <a:schemeClr val="accent1">
                <a:alpha val="85000"/>
              </a:schemeClr>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alpha val="85000"/>
            </a:schemeClr>
          </a:solidFill>
          <a:ln w="9525" cap="flat" cmpd="sng" algn="ctr">
            <a:solidFill>
              <a:schemeClr val="lt1">
                <a:alpha val="50000"/>
              </a:schemeClr>
            </a:solidFill>
            <a:round/>
          </a:ln>
          <a:effectLst/>
        </c:spPr>
        <c:marker>
          <c:symbol val="none"/>
        </c:marker>
      </c:pivotFmt>
      <c:pivotFmt>
        <c:idx val="38"/>
        <c:spPr>
          <a:solidFill>
            <a:schemeClr val="accent1">
              <a:alpha val="85000"/>
            </a:schemeClr>
          </a:solidFill>
          <a:ln w="9525" cap="flat" cmpd="sng" algn="ctr">
            <a:solidFill>
              <a:schemeClr val="lt1">
                <a:alpha val="50000"/>
              </a:schemeClr>
            </a:solidFill>
            <a:round/>
          </a:ln>
          <a:effectLst/>
        </c:spPr>
        <c:marker>
          <c:symbol val="none"/>
        </c:marker>
      </c:pivotFmt>
      <c:pivotFmt>
        <c:idx val="39"/>
        <c:spPr>
          <a:solidFill>
            <a:schemeClr val="accent1">
              <a:alpha val="85000"/>
            </a:schemeClr>
          </a:solidFill>
          <a:ln w="9525" cap="flat" cmpd="sng" algn="ctr">
            <a:solidFill>
              <a:schemeClr val="lt1">
                <a:alpha val="50000"/>
              </a:schemeClr>
            </a:solidFill>
            <a:round/>
          </a:ln>
          <a:effectLst/>
        </c:spPr>
        <c:marker>
          <c:symbol val="none"/>
        </c:marker>
      </c:pivotFmt>
    </c:pivotFmts>
    <c:plotArea>
      <c:layout>
        <c:manualLayout>
          <c:layoutTarget val="inner"/>
          <c:xMode val="edge"/>
          <c:yMode val="edge"/>
          <c:x val="1.3495070388345151E-2"/>
          <c:y val="0.10763521402288867"/>
          <c:w val="0.97481603038084486"/>
          <c:h val="0.56893032447467318"/>
        </c:manualLayout>
      </c:layout>
      <c:barChart>
        <c:barDir val="col"/>
        <c:grouping val="clustered"/>
        <c:varyColors val="0"/>
        <c:ser>
          <c:idx val="0"/>
          <c:order val="0"/>
          <c:tx>
            <c:strRef>
              <c:f>'CSAT Analysis'!$C$3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delete val="1"/>
          </c:dLbls>
          <c:cat>
            <c:multiLvlStrRef>
              <c:f>'CSAT Analysis'!$A$4:$B$40</c:f>
              <c:multiLvlStrCache>
                <c:ptCount val="33"/>
                <c:lvl>
                  <c:pt idx="0">
                    <c:v>Tuscaloosa</c:v>
                  </c:pt>
                  <c:pt idx="1">
                    <c:v>South Lake Tahoe</c:v>
                  </c:pt>
                  <c:pt idx="2">
                    <c:v>Sacramento</c:v>
                  </c:pt>
                  <c:pt idx="3">
                    <c:v>Rockford</c:v>
                  </c:pt>
                  <c:pt idx="4">
                    <c:v>Providence</c:v>
                  </c:pt>
                  <c:pt idx="5">
                    <c:v>New York City</c:v>
                  </c:pt>
                  <c:pt idx="6">
                    <c:v>Lansing</c:v>
                  </c:pt>
                  <c:pt idx="7">
                    <c:v>Huntington</c:v>
                  </c:pt>
                  <c:pt idx="8">
                    <c:v>Harrisburg</c:v>
                  </c:pt>
                  <c:pt idx="9">
                    <c:v>Gainesville</c:v>
                  </c:pt>
                  <c:pt idx="10">
                    <c:v>Fort Lauderdale</c:v>
                  </c:pt>
                  <c:pt idx="11">
                    <c:v>Erie</c:v>
                  </c:pt>
                  <c:pt idx="12">
                    <c:v>Concord</c:v>
                  </c:pt>
                  <c:pt idx="13">
                    <c:v>Baton Rouge</c:v>
                  </c:pt>
                  <c:pt idx="14">
                    <c:v>Abilene</c:v>
                  </c:pt>
                  <c:pt idx="15">
                    <c:v>Washington</c:v>
                  </c:pt>
                  <c:pt idx="16">
                    <c:v>San Francisco</c:v>
                  </c:pt>
                  <c:pt idx="17">
                    <c:v>Saint Paul</c:v>
                  </c:pt>
                  <c:pt idx="18">
                    <c:v>Richmond</c:v>
                  </c:pt>
                  <c:pt idx="19">
                    <c:v>Pensacola</c:v>
                  </c:pt>
                  <c:pt idx="20">
                    <c:v>Lubbock</c:v>
                  </c:pt>
                  <c:pt idx="21">
                    <c:v>Long Beach</c:v>
                  </c:pt>
                  <c:pt idx="22">
                    <c:v>Johnstown</c:v>
                  </c:pt>
                  <c:pt idx="23">
                    <c:v>Des Moines</c:v>
                  </c:pt>
                  <c:pt idx="24">
                    <c:v>Chicago</c:v>
                  </c:pt>
                  <c:pt idx="25">
                    <c:v>Pasadena</c:v>
                  </c:pt>
                  <c:pt idx="26">
                    <c:v>New York City</c:v>
                  </c:pt>
                  <c:pt idx="27">
                    <c:v>Minneapolis</c:v>
                  </c:pt>
                  <c:pt idx="28">
                    <c:v>Kansas City</c:v>
                  </c:pt>
                  <c:pt idx="29">
                    <c:v>Houston</c:v>
                  </c:pt>
                  <c:pt idx="30">
                    <c:v>Fort Wayne</c:v>
                  </c:pt>
                  <c:pt idx="31">
                    <c:v>Fort Pierce</c:v>
                  </c:pt>
                  <c:pt idx="32">
                    <c:v>Corpus Christi</c:v>
                  </c:pt>
                </c:lvl>
                <c:lvl>
                  <c:pt idx="0">
                    <c:v>Billing Question</c:v>
                  </c:pt>
                  <c:pt idx="15">
                    <c:v>Payments</c:v>
                  </c:pt>
                  <c:pt idx="25">
                    <c:v>Service Outage</c:v>
                  </c:pt>
                </c:lvl>
              </c:multiLvlStrCache>
            </c:multiLvlStrRef>
          </c:cat>
          <c:val>
            <c:numRef>
              <c:f>'CSAT Analysis'!$C$4:$C$40</c:f>
              <c:numCache>
                <c:formatCode>General</c:formatCode>
                <c:ptCount val="33"/>
                <c:pt idx="0">
                  <c:v>8</c:v>
                </c:pt>
                <c:pt idx="1">
                  <c:v>9</c:v>
                </c:pt>
                <c:pt idx="2">
                  <c:v>9</c:v>
                </c:pt>
                <c:pt idx="3">
                  <c:v>7</c:v>
                </c:pt>
                <c:pt idx="4">
                  <c:v>7</c:v>
                </c:pt>
                <c:pt idx="5">
                  <c:v>7</c:v>
                </c:pt>
                <c:pt idx="6">
                  <c:v>9</c:v>
                </c:pt>
                <c:pt idx="7">
                  <c:v>7</c:v>
                </c:pt>
                <c:pt idx="8">
                  <c:v>9</c:v>
                </c:pt>
                <c:pt idx="9">
                  <c:v>7</c:v>
                </c:pt>
                <c:pt idx="10">
                  <c:v>8</c:v>
                </c:pt>
                <c:pt idx="11">
                  <c:v>10</c:v>
                </c:pt>
                <c:pt idx="12">
                  <c:v>8</c:v>
                </c:pt>
                <c:pt idx="13">
                  <c:v>7</c:v>
                </c:pt>
                <c:pt idx="14">
                  <c:v>10</c:v>
                </c:pt>
                <c:pt idx="15">
                  <c:v>4</c:v>
                </c:pt>
                <c:pt idx="16">
                  <c:v>9</c:v>
                </c:pt>
                <c:pt idx="17">
                  <c:v>5</c:v>
                </c:pt>
                <c:pt idx="18">
                  <c:v>4</c:v>
                </c:pt>
                <c:pt idx="19">
                  <c:v>10</c:v>
                </c:pt>
                <c:pt idx="20">
                  <c:v>9</c:v>
                </c:pt>
                <c:pt idx="21">
                  <c:v>4</c:v>
                </c:pt>
                <c:pt idx="22">
                  <c:v>7</c:v>
                </c:pt>
                <c:pt idx="23">
                  <c:v>6</c:v>
                </c:pt>
                <c:pt idx="24">
                  <c:v>8</c:v>
                </c:pt>
                <c:pt idx="25">
                  <c:v>2</c:v>
                </c:pt>
                <c:pt idx="26">
                  <c:v>5</c:v>
                </c:pt>
                <c:pt idx="27">
                  <c:v>3</c:v>
                </c:pt>
                <c:pt idx="28">
                  <c:v>8</c:v>
                </c:pt>
                <c:pt idx="29">
                  <c:v>6</c:v>
                </c:pt>
                <c:pt idx="30">
                  <c:v>8</c:v>
                </c:pt>
                <c:pt idx="31">
                  <c:v>4</c:v>
                </c:pt>
                <c:pt idx="32">
                  <c:v>4</c:v>
                </c:pt>
              </c:numCache>
            </c:numRef>
          </c:val>
          <c:extLst>
            <c:ext xmlns:c16="http://schemas.microsoft.com/office/drawing/2014/chart" uri="{C3380CC4-5D6E-409C-BE32-E72D297353CC}">
              <c16:uniqueId val="{00000000-0F01-4D76-8A8C-C6D028723468}"/>
            </c:ext>
          </c:extLst>
        </c:ser>
        <c:dLbls>
          <c:dLblPos val="inEnd"/>
          <c:showLegendKey val="0"/>
          <c:showVal val="1"/>
          <c:showCatName val="0"/>
          <c:showSerName val="0"/>
          <c:showPercent val="0"/>
          <c:showBubbleSize val="0"/>
        </c:dLbls>
        <c:gapWidth val="65"/>
        <c:axId val="1316206599"/>
        <c:axId val="1316208647"/>
      </c:barChart>
      <c:catAx>
        <c:axId val="1316206599"/>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5400000" spcFirstLastPara="1" vertOverflow="ellipsis" wrap="square" anchor="t" anchorCtr="1"/>
          <a:lstStyle/>
          <a:p>
            <a:pPr>
              <a:defRPr sz="1100" b="1" i="0" u="none" strike="noStrike" kern="1200" cap="all" baseline="0">
                <a:solidFill>
                  <a:schemeClr val="tx1"/>
                </a:solidFill>
                <a:latin typeface="+mn-lt"/>
                <a:ea typeface="+mn-ea"/>
                <a:cs typeface="+mn-cs"/>
              </a:defRPr>
            </a:pPr>
            <a:endParaRPr lang="en-US"/>
          </a:p>
        </c:txPr>
        <c:crossAx val="1316208647"/>
        <c:crosses val="autoZero"/>
        <c:auto val="1"/>
        <c:lblAlgn val="ctr"/>
        <c:lblOffset val="100"/>
        <c:noMultiLvlLbl val="0"/>
      </c:catAx>
      <c:valAx>
        <c:axId val="1316208647"/>
        <c:scaling>
          <c:orientation val="minMax"/>
        </c:scaling>
        <c:delete val="1"/>
        <c:axPos val="l"/>
        <c:numFmt formatCode="General" sourceLinked="1"/>
        <c:majorTickMark val="out"/>
        <c:minorTickMark val="none"/>
        <c:tickLblPos val="nextTo"/>
        <c:crossAx val="1316206599"/>
        <c:crosses val="autoZero"/>
        <c:crossBetween val="between"/>
      </c:valAx>
      <c:spPr>
        <a:noFill/>
        <a:ln>
          <a:noFill/>
        </a:ln>
        <a:effectLst/>
      </c:spPr>
    </c:plotArea>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63500</xdr:colOff>
      <xdr:row>2</xdr:row>
      <xdr:rowOff>0</xdr:rowOff>
    </xdr:from>
    <xdr:to>
      <xdr:col>12</xdr:col>
      <xdr:colOff>520700</xdr:colOff>
      <xdr:row>28</xdr:row>
      <xdr:rowOff>0</xdr:rowOff>
    </xdr:to>
    <xdr:graphicFrame macro="">
      <xdr:nvGraphicFramePr>
        <xdr:cNvPr id="5" name="Chart 4">
          <a:extLst>
            <a:ext uri="{FF2B5EF4-FFF2-40B4-BE49-F238E27FC236}">
              <a16:creationId xmlns:a16="http://schemas.microsoft.com/office/drawing/2014/main" id="{4835813A-34EC-794F-069E-315265895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66675</xdr:colOff>
      <xdr:row>2</xdr:row>
      <xdr:rowOff>19050</xdr:rowOff>
    </xdr:from>
    <xdr:to>
      <xdr:col>11</xdr:col>
      <xdr:colOff>590550</xdr:colOff>
      <xdr:row>21</xdr:row>
      <xdr:rowOff>9525</xdr:rowOff>
    </xdr:to>
    <xdr:graphicFrame macro="">
      <xdr:nvGraphicFramePr>
        <xdr:cNvPr id="3" name="Chart 2">
          <a:extLst>
            <a:ext uri="{FF2B5EF4-FFF2-40B4-BE49-F238E27FC236}">
              <a16:creationId xmlns:a16="http://schemas.microsoft.com/office/drawing/2014/main" id="{22BBDEDE-3C18-37FA-A362-F7CF42759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2</xdr:row>
      <xdr:rowOff>19050</xdr:rowOff>
    </xdr:from>
    <xdr:to>
      <xdr:col>9</xdr:col>
      <xdr:colOff>171450</xdr:colOff>
      <xdr:row>18</xdr:row>
      <xdr:rowOff>9525</xdr:rowOff>
    </xdr:to>
    <xdr:graphicFrame macro="">
      <xdr:nvGraphicFramePr>
        <xdr:cNvPr id="2" name="Chart 1">
          <a:extLst>
            <a:ext uri="{FF2B5EF4-FFF2-40B4-BE49-F238E27FC236}">
              <a16:creationId xmlns:a16="http://schemas.microsoft.com/office/drawing/2014/main" id="{45A1883D-4CD0-4532-F889-E5B4169392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xdr:colOff>
      <xdr:row>1</xdr:row>
      <xdr:rowOff>174625</xdr:rowOff>
    </xdr:from>
    <xdr:to>
      <xdr:col>10</xdr:col>
      <xdr:colOff>431800</xdr:colOff>
      <xdr:row>20</xdr:row>
      <xdr:rowOff>76200</xdr:rowOff>
    </xdr:to>
    <xdr:graphicFrame macro="">
      <xdr:nvGraphicFramePr>
        <xdr:cNvPr id="2" name="Chart 1">
          <a:extLst>
            <a:ext uri="{FF2B5EF4-FFF2-40B4-BE49-F238E27FC236}">
              <a16:creationId xmlns:a16="http://schemas.microsoft.com/office/drawing/2014/main" id="{F8880F4B-EBF6-5E16-978E-2283CC6CF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609601</xdr:colOff>
      <xdr:row>0</xdr:row>
      <xdr:rowOff>76200</xdr:rowOff>
    </xdr:from>
    <xdr:to>
      <xdr:col>18</xdr:col>
      <xdr:colOff>512233</xdr:colOff>
      <xdr:row>4</xdr:row>
      <xdr:rowOff>97366</xdr:rowOff>
    </xdr:to>
    <xdr:sp macro="" textlink="">
      <xdr:nvSpPr>
        <xdr:cNvPr id="2" name="Rectangle 1"/>
        <xdr:cNvSpPr/>
      </xdr:nvSpPr>
      <xdr:spPr>
        <a:xfrm>
          <a:off x="5232401" y="76200"/>
          <a:ext cx="7192432" cy="732366"/>
        </a:xfrm>
        <a:prstGeom prst="rect">
          <a:avLst/>
        </a:prstGeom>
        <a:no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US" sz="3200" b="1" cap="none" spc="0">
              <a:ln w="0"/>
              <a:solidFill>
                <a:schemeClr val="tx1"/>
              </a:solidFill>
              <a:effectLst>
                <a:outerShdw blurRad="38100" dist="19050" dir="2700000" algn="tl" rotWithShape="0">
                  <a:schemeClr val="dk1">
                    <a:alpha val="40000"/>
                  </a:schemeClr>
                </a:outerShdw>
              </a:effectLst>
            </a:rPr>
            <a:t>Call Centre Performance Dashboard</a:t>
          </a:r>
        </a:p>
      </xdr:txBody>
    </xdr:sp>
    <xdr:clientData/>
  </xdr:twoCellAnchor>
  <xdr:twoCellAnchor>
    <xdr:from>
      <xdr:col>10</xdr:col>
      <xdr:colOff>154516</xdr:colOff>
      <xdr:row>43</xdr:row>
      <xdr:rowOff>116644</xdr:rowOff>
    </xdr:from>
    <xdr:to>
      <xdr:col>25</xdr:col>
      <xdr:colOff>573615</xdr:colOff>
      <xdr:row>63</xdr:row>
      <xdr:rowOff>62442</xdr:rowOff>
    </xdr:to>
    <xdr:graphicFrame macro="">
      <xdr:nvGraphicFramePr>
        <xdr:cNvPr id="3" name="Chart 2">
          <a:extLst>
            <a:ext uri="{FF2B5EF4-FFF2-40B4-BE49-F238E27FC236}">
              <a16:creationId xmlns:a16="http://schemas.microsoft.com/office/drawing/2014/main" id="{4835813A-34EC-794F-069E-315265895C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188384</xdr:colOff>
      <xdr:row>64</xdr:row>
      <xdr:rowOff>78316</xdr:rowOff>
    </xdr:from>
    <xdr:to>
      <xdr:col>25</xdr:col>
      <xdr:colOff>645584</xdr:colOff>
      <xdr:row>84</xdr:row>
      <xdr:rowOff>165100</xdr:rowOff>
    </xdr:to>
    <xdr:graphicFrame macro="">
      <xdr:nvGraphicFramePr>
        <xdr:cNvPr id="4" name="Chart 3">
          <a:extLst>
            <a:ext uri="{FF2B5EF4-FFF2-40B4-BE49-F238E27FC236}">
              <a16:creationId xmlns:a16="http://schemas.microsoft.com/office/drawing/2014/main" id="{22BBDEDE-3C18-37FA-A362-F7CF42759F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196850</xdr:colOff>
      <xdr:row>48</xdr:row>
      <xdr:rowOff>132443</xdr:rowOff>
    </xdr:from>
    <xdr:to>
      <xdr:col>10</xdr:col>
      <xdr:colOff>57150</xdr:colOff>
      <xdr:row>64</xdr:row>
      <xdr:rowOff>167217</xdr:rowOff>
    </xdr:to>
    <xdr:graphicFrame macro="">
      <xdr:nvGraphicFramePr>
        <xdr:cNvPr id="6" name="Chart 5">
          <a:extLst>
            <a:ext uri="{FF2B5EF4-FFF2-40B4-BE49-F238E27FC236}">
              <a16:creationId xmlns:a16="http://schemas.microsoft.com/office/drawing/2014/main" id="{45A1883D-4CD0-4532-F889-E5B4169392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164496</xdr:colOff>
      <xdr:row>14</xdr:row>
      <xdr:rowOff>96609</xdr:rowOff>
    </xdr:from>
    <xdr:to>
      <xdr:col>25</xdr:col>
      <xdr:colOff>579967</xdr:colOff>
      <xdr:row>42</xdr:row>
      <xdr:rowOff>125942</xdr:rowOff>
    </xdr:to>
    <xdr:graphicFrame macro="">
      <xdr:nvGraphicFramePr>
        <xdr:cNvPr id="7" name="Chart 6">
          <a:extLst>
            <a:ext uri="{FF2B5EF4-FFF2-40B4-BE49-F238E27FC236}">
              <a16:creationId xmlns:a16="http://schemas.microsoft.com/office/drawing/2014/main" id="{F8880F4B-EBF6-5E16-978E-2283CC6CF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192616</xdr:colOff>
      <xdr:row>13</xdr:row>
      <xdr:rowOff>169333</xdr:rowOff>
    </xdr:from>
    <xdr:to>
      <xdr:col>5</xdr:col>
      <xdr:colOff>486832</xdr:colOff>
      <xdr:row>47</xdr:row>
      <xdr:rowOff>50800</xdr:rowOff>
    </xdr:to>
    <mc:AlternateContent xmlns:mc="http://schemas.openxmlformats.org/markup-compatibility/2006">
      <mc:Choice xmlns:a14="http://schemas.microsoft.com/office/drawing/2010/main" Requires="a14">
        <xdr:graphicFrame macro="">
          <xdr:nvGraphicFramePr>
            <xdr:cNvPr id="8" name="Call Timestamp"/>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all Timestamp"/>
            </a:graphicData>
          </a:graphic>
        </xdr:graphicFrame>
      </mc:Choice>
      <mc:Fallback>
        <xdr:sp macro="" textlink="">
          <xdr:nvSpPr>
            <xdr:cNvPr id="0" name=""/>
            <xdr:cNvSpPr>
              <a:spLocks noTextEdit="1"/>
            </xdr:cNvSpPr>
          </xdr:nvSpPr>
          <xdr:spPr>
            <a:xfrm>
              <a:off x="192616" y="2508250"/>
              <a:ext cx="3575049" cy="5998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361948</xdr:colOff>
      <xdr:row>6</xdr:row>
      <xdr:rowOff>2118</xdr:rowOff>
    </xdr:from>
    <xdr:to>
      <xdr:col>6</xdr:col>
      <xdr:colOff>102868</xdr:colOff>
      <xdr:row>12</xdr:row>
      <xdr:rowOff>67753</xdr:rowOff>
    </xdr:to>
    <xdr:sp macro="" textlink="KPI_calculation!A3">
      <xdr:nvSpPr>
        <xdr:cNvPr id="10" name="Rectangle 9"/>
        <xdr:cNvSpPr>
          <a:spLocks noChangeAspect="1"/>
        </xdr:cNvSpPr>
      </xdr:nvSpPr>
      <xdr:spPr>
        <a:xfrm>
          <a:off x="361948" y="1068918"/>
          <a:ext cx="3703320" cy="1132435"/>
        </a:xfrm>
        <a:prstGeom prst="rect">
          <a:avLst/>
        </a:prstGeom>
        <a:solidFill>
          <a:schemeClr val="bg1">
            <a:lumMod val="8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B91AC98-1245-497A-AE98-EEC8CD905E39}" type="TxLink">
            <a:rPr lang="en-US" sz="2600" b="1" i="0" u="none" strike="noStrike">
              <a:solidFill>
                <a:srgbClr val="000000"/>
              </a:solidFill>
              <a:latin typeface="Tw Cen MT"/>
            </a:rPr>
            <a:pPr algn="ctr"/>
            <a:t>1838</a:t>
          </a:fld>
          <a:endParaRPr lang="en-US" sz="2600" b="1"/>
        </a:p>
      </xdr:txBody>
    </xdr:sp>
    <xdr:clientData/>
  </xdr:twoCellAnchor>
  <xdr:twoCellAnchor>
    <xdr:from>
      <xdr:col>6</xdr:col>
      <xdr:colOff>543983</xdr:colOff>
      <xdr:row>6</xdr:row>
      <xdr:rowOff>-1</xdr:rowOff>
    </xdr:from>
    <xdr:to>
      <xdr:col>12</xdr:col>
      <xdr:colOff>284903</xdr:colOff>
      <xdr:row>11</xdr:row>
      <xdr:rowOff>173701</xdr:rowOff>
    </xdr:to>
    <xdr:sp macro="" textlink="KPI_calculation!C3">
      <xdr:nvSpPr>
        <xdr:cNvPr id="12" name="Rectangle 11"/>
        <xdr:cNvSpPr>
          <a:spLocks noChangeAspect="1"/>
        </xdr:cNvSpPr>
      </xdr:nvSpPr>
      <xdr:spPr>
        <a:xfrm>
          <a:off x="4506383" y="1066799"/>
          <a:ext cx="3703320" cy="1062702"/>
        </a:xfrm>
        <a:prstGeom prst="rect">
          <a:avLst/>
        </a:prstGeom>
        <a:solidFill>
          <a:schemeClr val="bg1">
            <a:lumMod val="8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36EBB08C-1602-4E74-9B00-EFA7B3F5EF49}" type="TxLink">
            <a:rPr lang="en-US" sz="2600" b="1" i="0" u="none" strike="noStrike">
              <a:solidFill>
                <a:srgbClr val="000000"/>
              </a:solidFill>
              <a:latin typeface="Tw Cen MT"/>
              <a:ea typeface="+mn-ea"/>
              <a:cs typeface="+mn-cs"/>
            </a:rPr>
            <a:pPr marL="0" indent="0" algn="ctr"/>
            <a:t>5.3</a:t>
          </a:fld>
          <a:endParaRPr lang="en-US" sz="2600" b="1" i="0" u="none" strike="noStrike">
            <a:solidFill>
              <a:srgbClr val="000000"/>
            </a:solidFill>
            <a:latin typeface="Tw Cen MT"/>
            <a:ea typeface="+mn-ea"/>
            <a:cs typeface="+mn-cs"/>
          </a:endParaRPr>
        </a:p>
      </xdr:txBody>
    </xdr:sp>
    <xdr:clientData/>
  </xdr:twoCellAnchor>
  <xdr:twoCellAnchor>
    <xdr:from>
      <xdr:col>13</xdr:col>
      <xdr:colOff>342900</xdr:colOff>
      <xdr:row>6</xdr:row>
      <xdr:rowOff>12699</xdr:rowOff>
    </xdr:from>
    <xdr:to>
      <xdr:col>19</xdr:col>
      <xdr:colOff>83820</xdr:colOff>
      <xdr:row>12</xdr:row>
      <xdr:rowOff>47999</xdr:rowOff>
    </xdr:to>
    <xdr:sp macro="" textlink="KPI_calculation!A5">
      <xdr:nvSpPr>
        <xdr:cNvPr id="13" name="Rectangle 12"/>
        <xdr:cNvSpPr>
          <a:spLocks noChangeAspect="1"/>
        </xdr:cNvSpPr>
      </xdr:nvSpPr>
      <xdr:spPr>
        <a:xfrm>
          <a:off x="8928100" y="1079499"/>
          <a:ext cx="3703320" cy="1102100"/>
        </a:xfrm>
        <a:prstGeom prst="rect">
          <a:avLst/>
        </a:prstGeom>
        <a:solidFill>
          <a:schemeClr val="bg1">
            <a:lumMod val="8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EF9207E5-D8ED-4A5D-9814-678A89CBED0D}" type="TxLink">
            <a:rPr lang="en-US" sz="2600" b="1" i="0" u="none" strike="noStrike">
              <a:solidFill>
                <a:srgbClr val="000000"/>
              </a:solidFill>
              <a:latin typeface="Tw Cen MT"/>
              <a:ea typeface="+mn-ea"/>
              <a:cs typeface="+mn-cs"/>
            </a:rPr>
            <a:pPr marL="0" indent="0" algn="ctr"/>
            <a:t>26.3</a:t>
          </a:fld>
          <a:endParaRPr lang="en-US" sz="2600" b="1" i="0" u="none" strike="noStrike">
            <a:solidFill>
              <a:srgbClr val="000000"/>
            </a:solidFill>
            <a:latin typeface="Tw Cen MT"/>
            <a:ea typeface="+mn-ea"/>
            <a:cs typeface="+mn-cs"/>
          </a:endParaRPr>
        </a:p>
      </xdr:txBody>
    </xdr:sp>
    <xdr:clientData/>
  </xdr:twoCellAnchor>
  <xdr:twoCellAnchor>
    <xdr:from>
      <xdr:col>20</xdr:col>
      <xdr:colOff>165100</xdr:colOff>
      <xdr:row>5</xdr:row>
      <xdr:rowOff>167215</xdr:rowOff>
    </xdr:from>
    <xdr:to>
      <xdr:col>25</xdr:col>
      <xdr:colOff>568113</xdr:colOff>
      <xdr:row>12</xdr:row>
      <xdr:rowOff>71203</xdr:rowOff>
    </xdr:to>
    <xdr:sp macro="" textlink="KPI_calculation!G6">
      <xdr:nvSpPr>
        <xdr:cNvPr id="14" name="Rectangle 13"/>
        <xdr:cNvSpPr>
          <a:spLocks noChangeAspect="1"/>
        </xdr:cNvSpPr>
      </xdr:nvSpPr>
      <xdr:spPr>
        <a:xfrm>
          <a:off x="13373100" y="1056215"/>
          <a:ext cx="3705013" cy="1148588"/>
        </a:xfrm>
        <a:prstGeom prst="rect">
          <a:avLst/>
        </a:prstGeom>
        <a:solidFill>
          <a:schemeClr val="bg1">
            <a:lumMod val="85000"/>
          </a:schemeClr>
        </a:solidFill>
        <a:ln>
          <a:solidFill>
            <a:schemeClr val="tx1"/>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fld id="{509E5ADB-7F77-4F77-ACC3-BD10C0BDA6E5}" type="TxLink">
            <a:rPr lang="en-US" sz="2600" b="1" i="0" u="none" strike="noStrike">
              <a:solidFill>
                <a:srgbClr val="000000"/>
              </a:solidFill>
              <a:latin typeface="Tw Cen MT"/>
              <a:ea typeface="+mn-ea"/>
              <a:cs typeface="+mn-cs"/>
            </a:rPr>
            <a:pPr marL="0" indent="0" algn="ctr"/>
            <a:t>0.76</a:t>
          </a:fld>
          <a:endParaRPr lang="en-US" sz="2600" b="1" i="0" u="none" strike="noStrike">
            <a:solidFill>
              <a:srgbClr val="000000"/>
            </a:solidFill>
            <a:latin typeface="Tw Cen MT"/>
            <a:ea typeface="+mn-ea"/>
            <a:cs typeface="+mn-cs"/>
          </a:endParaRPr>
        </a:p>
      </xdr:txBody>
    </xdr:sp>
    <xdr:clientData/>
  </xdr:twoCellAnchor>
  <xdr:twoCellAnchor>
    <xdr:from>
      <xdr:col>2</xdr:col>
      <xdr:colOff>44450</xdr:colOff>
      <xdr:row>8</xdr:row>
      <xdr:rowOff>76200</xdr:rowOff>
    </xdr:from>
    <xdr:to>
      <xdr:col>5</xdr:col>
      <xdr:colOff>44450</xdr:colOff>
      <xdr:row>10</xdr:row>
      <xdr:rowOff>118534</xdr:rowOff>
    </xdr:to>
    <xdr:sp macro="" textlink="">
      <xdr:nvSpPr>
        <xdr:cNvPr id="17" name="TextBox 16"/>
        <xdr:cNvSpPr txBox="1"/>
      </xdr:nvSpPr>
      <xdr:spPr>
        <a:xfrm>
          <a:off x="1365250" y="1498600"/>
          <a:ext cx="1981200" cy="397934"/>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latin typeface="Arial Black" panose="020B0A04020102020204" pitchFamily="34" charset="0"/>
            </a:rPr>
            <a:t>Total Calls</a:t>
          </a:r>
        </a:p>
      </xdr:txBody>
    </xdr:sp>
    <xdr:clientData/>
  </xdr:twoCellAnchor>
  <xdr:twoCellAnchor>
    <xdr:from>
      <xdr:col>8</xdr:col>
      <xdr:colOff>260349</xdr:colOff>
      <xdr:row>8</xdr:row>
      <xdr:rowOff>65615</xdr:rowOff>
    </xdr:from>
    <xdr:to>
      <xdr:col>11</xdr:col>
      <xdr:colOff>260349</xdr:colOff>
      <xdr:row>10</xdr:row>
      <xdr:rowOff>107949</xdr:rowOff>
    </xdr:to>
    <xdr:sp macro="" textlink="">
      <xdr:nvSpPr>
        <xdr:cNvPr id="19" name="TextBox 18"/>
        <xdr:cNvSpPr txBox="1"/>
      </xdr:nvSpPr>
      <xdr:spPr>
        <a:xfrm>
          <a:off x="5543549" y="1488015"/>
          <a:ext cx="1981200" cy="397934"/>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latin typeface="Arial Black" panose="020B0A04020102020204" pitchFamily="34" charset="0"/>
            </a:rPr>
            <a:t>Avg</a:t>
          </a:r>
          <a:r>
            <a:rPr lang="en-US" sz="1800" b="1" baseline="0">
              <a:solidFill>
                <a:schemeClr val="tx1"/>
              </a:solidFill>
              <a:latin typeface="Arial Black" panose="020B0A04020102020204" pitchFamily="34" charset="0"/>
            </a:rPr>
            <a:t> CSAT</a:t>
          </a:r>
          <a:endParaRPr lang="en-US" sz="1800" b="1">
            <a:solidFill>
              <a:schemeClr val="tx1"/>
            </a:solidFill>
            <a:latin typeface="Arial Black" panose="020B0A04020102020204" pitchFamily="34" charset="0"/>
          </a:endParaRPr>
        </a:p>
      </xdr:txBody>
    </xdr:sp>
    <xdr:clientData/>
  </xdr:twoCellAnchor>
  <xdr:twoCellAnchor>
    <xdr:from>
      <xdr:col>15</xdr:col>
      <xdr:colOff>59267</xdr:colOff>
      <xdr:row>8</xdr:row>
      <xdr:rowOff>86783</xdr:rowOff>
    </xdr:from>
    <xdr:to>
      <xdr:col>18</xdr:col>
      <xdr:colOff>59267</xdr:colOff>
      <xdr:row>10</xdr:row>
      <xdr:rowOff>129117</xdr:rowOff>
    </xdr:to>
    <xdr:sp macro="" textlink="">
      <xdr:nvSpPr>
        <xdr:cNvPr id="20" name="TextBox 19"/>
        <xdr:cNvSpPr txBox="1"/>
      </xdr:nvSpPr>
      <xdr:spPr>
        <a:xfrm>
          <a:off x="9965267" y="1509183"/>
          <a:ext cx="1981200" cy="397934"/>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latin typeface="Arial Black" panose="020B0A04020102020204" pitchFamily="34" charset="0"/>
            </a:rPr>
            <a:t>Avg</a:t>
          </a:r>
          <a:r>
            <a:rPr lang="en-US" sz="1800" b="1" baseline="0">
              <a:solidFill>
                <a:schemeClr val="tx1"/>
              </a:solidFill>
              <a:latin typeface="Arial Black" panose="020B0A04020102020204" pitchFamily="34" charset="0"/>
            </a:rPr>
            <a:t> Duration</a:t>
          </a:r>
          <a:endParaRPr lang="en-US" sz="1800" b="1">
            <a:solidFill>
              <a:schemeClr val="tx1"/>
            </a:solidFill>
            <a:latin typeface="Arial Black" panose="020B0A04020102020204" pitchFamily="34" charset="0"/>
          </a:endParaRPr>
        </a:p>
      </xdr:txBody>
    </xdr:sp>
    <xdr:clientData/>
  </xdr:twoCellAnchor>
  <xdr:twoCellAnchor>
    <xdr:from>
      <xdr:col>21</xdr:col>
      <xdr:colOff>433916</xdr:colOff>
      <xdr:row>8</xdr:row>
      <xdr:rowOff>93132</xdr:rowOff>
    </xdr:from>
    <xdr:to>
      <xdr:col>24</xdr:col>
      <xdr:colOff>433916</xdr:colOff>
      <xdr:row>10</xdr:row>
      <xdr:rowOff>133349</xdr:rowOff>
    </xdr:to>
    <xdr:sp macro="" textlink="">
      <xdr:nvSpPr>
        <xdr:cNvPr id="21" name="TextBox 20"/>
        <xdr:cNvSpPr txBox="1"/>
      </xdr:nvSpPr>
      <xdr:spPr>
        <a:xfrm>
          <a:off x="14302316" y="1515532"/>
          <a:ext cx="1981200" cy="395817"/>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solidFill>
                <a:schemeClr val="tx1"/>
              </a:solidFill>
              <a:latin typeface="Arial Black" panose="020B0A04020102020204" pitchFamily="34" charset="0"/>
            </a:rPr>
            <a:t>Within SLA%</a:t>
          </a:r>
        </a:p>
      </xdr:txBody>
    </xdr:sp>
    <xdr:clientData/>
  </xdr:twoCellAnchor>
  <xdr:twoCellAnchor editAs="oneCell">
    <xdr:from>
      <xdr:col>5</xdr:col>
      <xdr:colOff>539751</xdr:colOff>
      <xdr:row>14</xdr:row>
      <xdr:rowOff>116415</xdr:rowOff>
    </xdr:from>
    <xdr:to>
      <xdr:col>9</xdr:col>
      <xdr:colOff>539750</xdr:colOff>
      <xdr:row>26</xdr:row>
      <xdr:rowOff>116415</xdr:rowOff>
    </xdr:to>
    <mc:AlternateContent xmlns:mc="http://schemas.openxmlformats.org/markup-compatibility/2006">
      <mc:Choice xmlns:a14="http://schemas.microsoft.com/office/drawing/2010/main" Requires="a14">
        <xdr:graphicFrame macro="">
          <xdr:nvGraphicFramePr>
            <xdr:cNvPr id="16" name="Channel"/>
            <xdr:cNvGraphicFramePr>
              <a:graphicFrameLocks noChangeAspect="1"/>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dr:sp macro="" textlink="">
          <xdr:nvSpPr>
            <xdr:cNvPr id="0" name=""/>
            <xdr:cNvSpPr>
              <a:spLocks noTextEdit="1"/>
            </xdr:cNvSpPr>
          </xdr:nvSpPr>
          <xdr:spPr>
            <a:xfrm>
              <a:off x="3820584" y="2635248"/>
              <a:ext cx="2624666" cy="2159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508001</xdr:colOff>
      <xdr:row>27</xdr:row>
      <xdr:rowOff>42333</xdr:rowOff>
    </xdr:from>
    <xdr:to>
      <xdr:col>9</xdr:col>
      <xdr:colOff>571500</xdr:colOff>
      <xdr:row>47</xdr:row>
      <xdr:rowOff>29633</xdr:rowOff>
    </xdr:to>
    <mc:AlternateContent xmlns:mc="http://schemas.openxmlformats.org/markup-compatibility/2006">
      <mc:Choice xmlns:a14="http://schemas.microsoft.com/office/drawing/2010/main" Requires="a14">
        <xdr:graphicFrame macro="">
          <xdr:nvGraphicFramePr>
            <xdr:cNvPr id="18" name="Sentiment"/>
            <xdr:cNvGraphicFramePr>
              <a:graphicFrameLocks noChangeAspect="1"/>
            </xdr:cNvGraphicFramePr>
          </xdr:nvGraphicFramePr>
          <xdr:xfrm>
            <a:off x="0" y="0"/>
            <a:ext cx="0" cy="0"/>
          </xdr:xfrm>
          <a:graphic>
            <a:graphicData uri="http://schemas.microsoft.com/office/drawing/2010/slicer">
              <sle:slicer xmlns:sle="http://schemas.microsoft.com/office/drawing/2010/slicer" name="Sentiment"/>
            </a:graphicData>
          </a:graphic>
        </xdr:graphicFrame>
      </mc:Choice>
      <mc:Fallback>
        <xdr:sp macro="" textlink="">
          <xdr:nvSpPr>
            <xdr:cNvPr id="0" name=""/>
            <xdr:cNvSpPr>
              <a:spLocks noTextEdit="1"/>
            </xdr:cNvSpPr>
          </xdr:nvSpPr>
          <xdr:spPr>
            <a:xfrm>
              <a:off x="3788834" y="4900083"/>
              <a:ext cx="2688166" cy="35856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26</xdr:col>
      <xdr:colOff>285751</xdr:colOff>
      <xdr:row>6</xdr:row>
      <xdr:rowOff>148167</xdr:rowOff>
    </xdr:from>
    <xdr:to>
      <xdr:col>29</xdr:col>
      <xdr:colOff>84668</xdr:colOff>
      <xdr:row>19</xdr:row>
      <xdr:rowOff>137583</xdr:rowOff>
    </xdr:to>
    <xdr:sp macro="" textlink="">
      <xdr:nvSpPr>
        <xdr:cNvPr id="5" name="Rectangle 4"/>
        <xdr:cNvSpPr/>
      </xdr:nvSpPr>
      <xdr:spPr>
        <a:xfrm>
          <a:off x="17346084" y="1227667"/>
          <a:ext cx="1767417" cy="2328333"/>
        </a:xfrm>
        <a:prstGeom prst="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bg1"/>
              </a:solidFill>
            </a:rPr>
            <a:t>0.17</a:t>
          </a:r>
        </a:p>
      </xdr:txBody>
    </xdr:sp>
    <xdr:clientData/>
  </xdr:twoCellAnchor>
  <xdr:twoCellAnchor>
    <xdr:from>
      <xdr:col>26</xdr:col>
      <xdr:colOff>116418</xdr:colOff>
      <xdr:row>11</xdr:row>
      <xdr:rowOff>148168</xdr:rowOff>
    </xdr:from>
    <xdr:to>
      <xdr:col>29</xdr:col>
      <xdr:colOff>359835</xdr:colOff>
      <xdr:row>14</xdr:row>
      <xdr:rowOff>105834</xdr:rowOff>
    </xdr:to>
    <xdr:sp macro="" textlink="KPI_calculation!G4">
      <xdr:nvSpPr>
        <xdr:cNvPr id="9" name="TextBox 8"/>
        <xdr:cNvSpPr txBox="1"/>
      </xdr:nvSpPr>
      <xdr:spPr>
        <a:xfrm>
          <a:off x="17176751" y="2127251"/>
          <a:ext cx="2211917" cy="497416"/>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43335E-2BAF-4F41-A4ED-6B93B0495869}" type="TxLink">
            <a:rPr lang="en-US" sz="1600" b="1" i="0" u="none" strike="noStrike">
              <a:solidFill>
                <a:srgbClr val="000000"/>
              </a:solidFill>
              <a:latin typeface="Tw Cen MT"/>
            </a:rPr>
            <a:pPr algn="ctr"/>
            <a:t>0.11</a:t>
          </a:fld>
          <a:endParaRPr lang="en-US" sz="1600" b="1">
            <a:noFill/>
          </a:endParaRPr>
        </a:p>
      </xdr:txBody>
    </xdr:sp>
    <xdr:clientData/>
  </xdr:twoCellAnchor>
  <xdr:twoCellAnchor>
    <xdr:from>
      <xdr:col>26</xdr:col>
      <xdr:colOff>433917</xdr:colOff>
      <xdr:row>16</xdr:row>
      <xdr:rowOff>21167</xdr:rowOff>
    </xdr:from>
    <xdr:to>
      <xdr:col>29</xdr:col>
      <xdr:colOff>1</xdr:colOff>
      <xdr:row>18</xdr:row>
      <xdr:rowOff>0</xdr:rowOff>
    </xdr:to>
    <xdr:sp macro="" textlink="">
      <xdr:nvSpPr>
        <xdr:cNvPr id="11" name="TextBox 10"/>
        <xdr:cNvSpPr txBox="1"/>
      </xdr:nvSpPr>
      <xdr:spPr>
        <a:xfrm>
          <a:off x="17494250" y="2899834"/>
          <a:ext cx="1534584" cy="3386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a:solidFill>
                <a:schemeClr val="tx1"/>
              </a:solidFill>
            </a:rPr>
            <a:t>Above SLA%</a:t>
          </a:r>
        </a:p>
      </xdr:txBody>
    </xdr:sp>
    <xdr:clientData/>
  </xdr:twoCellAnchor>
  <xdr:twoCellAnchor>
    <xdr:from>
      <xdr:col>26</xdr:col>
      <xdr:colOff>289984</xdr:colOff>
      <xdr:row>21</xdr:row>
      <xdr:rowOff>74083</xdr:rowOff>
    </xdr:from>
    <xdr:to>
      <xdr:col>29</xdr:col>
      <xdr:colOff>88901</xdr:colOff>
      <xdr:row>34</xdr:row>
      <xdr:rowOff>63499</xdr:rowOff>
    </xdr:to>
    <xdr:sp macro="" textlink="">
      <xdr:nvSpPr>
        <xdr:cNvPr id="23" name="Rectangle 22"/>
        <xdr:cNvSpPr/>
      </xdr:nvSpPr>
      <xdr:spPr>
        <a:xfrm>
          <a:off x="17485784" y="3833283"/>
          <a:ext cx="1780117" cy="2300816"/>
        </a:xfrm>
        <a:prstGeom prst="rect">
          <a:avLst/>
        </a:prstGeom>
        <a:solidFill>
          <a:schemeClr val="bg1">
            <a:lumMod val="75000"/>
          </a:schemeClr>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400" b="1">
              <a:solidFill>
                <a:schemeClr val="tx1"/>
              </a:solidFill>
            </a:rPr>
            <a:t>0.17</a:t>
          </a:r>
        </a:p>
      </xdr:txBody>
    </xdr:sp>
    <xdr:clientData/>
  </xdr:twoCellAnchor>
  <xdr:twoCellAnchor>
    <xdr:from>
      <xdr:col>26</xdr:col>
      <xdr:colOff>169332</xdr:colOff>
      <xdr:row>26</xdr:row>
      <xdr:rowOff>105835</xdr:rowOff>
    </xdr:from>
    <xdr:to>
      <xdr:col>29</xdr:col>
      <xdr:colOff>391583</xdr:colOff>
      <xdr:row>29</xdr:row>
      <xdr:rowOff>52918</xdr:rowOff>
    </xdr:to>
    <xdr:sp macro="" textlink="KPI_calculation!G5">
      <xdr:nvSpPr>
        <xdr:cNvPr id="15" name="TextBox 14"/>
        <xdr:cNvSpPr txBox="1"/>
      </xdr:nvSpPr>
      <xdr:spPr>
        <a:xfrm>
          <a:off x="17229665" y="4783668"/>
          <a:ext cx="2190751" cy="486833"/>
        </a:xfrm>
        <a:prstGeom prst="rect">
          <a:avLst/>
        </a:prstGeom>
        <a:solidFill>
          <a:schemeClr val="bg1">
            <a:lumMod val="85000"/>
          </a:schemeClr>
        </a:solidFill>
        <a:ln w="9525" cmpd="sng">
          <a:noFill/>
        </a:ln>
        <a:effectLst>
          <a:outerShdw blurRad="63500" sx="102000" sy="102000" algn="c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91306AA-2F98-49C3-A928-66FA1FF8C01B}" type="TxLink">
            <a:rPr lang="en-US" sz="1600" b="1" i="0" u="none" strike="noStrike">
              <a:solidFill>
                <a:srgbClr val="000000"/>
              </a:solidFill>
              <a:latin typeface="Tw Cen MT"/>
              <a:ea typeface="+mn-ea"/>
              <a:cs typeface="+mn-cs"/>
            </a:rPr>
            <a:pPr marL="0" indent="0" algn="ctr"/>
            <a:t>0.13</a:t>
          </a:fld>
          <a:endParaRPr lang="en-US" sz="1600" b="1" i="0" u="none" strike="noStrike">
            <a:solidFill>
              <a:srgbClr val="000000"/>
            </a:solidFill>
            <a:latin typeface="Tw Cen MT"/>
            <a:ea typeface="+mn-ea"/>
            <a:cs typeface="+mn-cs"/>
          </a:endParaRPr>
        </a:p>
      </xdr:txBody>
    </xdr:sp>
    <xdr:clientData/>
  </xdr:twoCellAnchor>
  <xdr:twoCellAnchor>
    <xdr:from>
      <xdr:col>26</xdr:col>
      <xdr:colOff>370416</xdr:colOff>
      <xdr:row>30</xdr:row>
      <xdr:rowOff>169333</xdr:rowOff>
    </xdr:from>
    <xdr:to>
      <xdr:col>29</xdr:col>
      <xdr:colOff>116416</xdr:colOff>
      <xdr:row>32</xdr:row>
      <xdr:rowOff>116417</xdr:rowOff>
    </xdr:to>
    <xdr:sp macro="" textlink="">
      <xdr:nvSpPr>
        <xdr:cNvPr id="26" name="TextBox 25"/>
        <xdr:cNvSpPr txBox="1"/>
      </xdr:nvSpPr>
      <xdr:spPr>
        <a:xfrm>
          <a:off x="17451916" y="5566833"/>
          <a:ext cx="1714500" cy="3069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t>Below SLA%</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062.078767708335" createdVersion="8" refreshedVersion="6" minRefreshableVersion="3" recordCount="70">
  <cacheSource type="worksheet">
    <worksheetSource ref="B6:M76" sheet="Call Center Data"/>
  </cacheSource>
  <cacheFields count="12">
    <cacheField name="ID" numFmtId="0">
      <sharedItems/>
    </cacheField>
    <cacheField name="Customer Name" numFmtId="0">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acheField>
    <cacheField name="Call Timestamp" numFmtId="14">
      <sharedItems containsSemiMixedTypes="0" containsNonDate="0" containsDate="1" containsString="0" minDate="2024-01-01T00:00:00" maxDate="2024-02-01T00:00:00" count="31">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Reason" numFmtId="0">
      <sharedItems count="3">
        <s v="Billing Question"/>
        <s v="Payments"/>
        <s v="Service Outage"/>
      </sharedItems>
    </cacheField>
    <cacheField name="City" numFmtId="0">
      <sharedItems count="57">
        <s v="Charleston"/>
        <s v="Honolulu"/>
        <s v="Dallas"/>
        <s v="Fort Myers"/>
        <s v="Tuscaloosa"/>
        <s v="Pensacola"/>
        <s v="Little Rock"/>
        <s v="Nashville"/>
        <s v="El Paso"/>
        <s v="Santa Ana"/>
        <s v="Huntington"/>
        <s v="Pittsburgh"/>
        <s v="Tucson"/>
        <s v="Des Moines"/>
        <s v="San Francisco"/>
        <s v="Lansing"/>
        <s v="Washington"/>
        <s v="New York City"/>
        <s v="Madison"/>
        <s v="Fort Pierce"/>
        <s v="Lubbock"/>
        <s v="Stockton"/>
        <s v="Corpus Christi"/>
        <s v="Minneapolis"/>
        <s v="Colorado Springs"/>
        <s v="Abilene"/>
        <s v="Fort Lauderdale"/>
        <s v="Shawnee Mission"/>
        <s v="Gainesville"/>
        <s v="Erie"/>
        <s v="Houston"/>
        <s v="Saint Paul"/>
        <s v="Fort Worth"/>
        <s v="Salt Lake City"/>
        <s v="South Lake Tahoe"/>
        <s v="Montgomery"/>
        <s v="Providence"/>
        <s v="Richmond"/>
        <s v="Johnstown"/>
        <s v="Bronx"/>
        <s v="Las Vegas"/>
        <s v="Pasadena"/>
        <s v="Sacramento"/>
        <s v="Chicago"/>
        <s v="Fort Wayne"/>
        <s v="Kansas City"/>
        <s v="Long Beach"/>
        <s v="Baton Rouge"/>
        <s v="Naperville"/>
        <s v="Evansville"/>
        <s v="Rockford"/>
        <s v="Harrisburg"/>
        <s v="Reno"/>
        <s v="Bloomington"/>
        <s v="Katy"/>
        <s v="Concord"/>
        <s v="Columbus"/>
      </sharedItems>
    </cacheField>
    <cacheField name="State" numFmtId="0">
      <sharedItems/>
    </cacheField>
    <cacheField name="Channel" numFmtId="0">
      <sharedItems count="4">
        <s v="Chatbot"/>
        <s v="Call-Center"/>
        <s v="Email"/>
        <s v="Web"/>
      </sharedItems>
    </cacheField>
    <cacheField name="Response Time" numFmtId="0">
      <sharedItems count="3">
        <s v="Within SLA"/>
        <s v="Below SLA"/>
        <s v="Above SLA"/>
      </sharedItems>
    </cacheField>
    <cacheField name="Call Duration (Minutes)" numFmtId="0">
      <sharedItems containsSemiMixedTypes="0" containsString="0" containsNumber="1" containsInteger="1" minValue="6" maxValue="45" count="34">
        <n v="14"/>
        <n v="32"/>
        <n v="6"/>
        <n v="26"/>
        <n v="9"/>
        <n v="15"/>
        <n v="12"/>
        <n v="42"/>
        <n v="44"/>
        <n v="29"/>
        <n v="35"/>
        <n v="30"/>
        <n v="8"/>
        <n v="20"/>
        <n v="31"/>
        <n v="39"/>
        <n v="38"/>
        <n v="41"/>
        <n v="7"/>
        <n v="34"/>
        <n v="36"/>
        <n v="17"/>
        <n v="25"/>
        <n v="43"/>
        <n v="27"/>
        <n v="13"/>
        <n v="22"/>
        <n v="18"/>
        <n v="23"/>
        <n v="37"/>
        <n v="10"/>
        <n v="45"/>
        <n v="33"/>
        <n v="19"/>
      </sharedItems>
    </cacheField>
    <cacheField name="Call Center" numFmtId="0">
      <sharedItems count="4">
        <s v="Chicago/IL"/>
        <s v="Los Angeles/CA"/>
        <s v="Denver/CO"/>
        <s v="Baltimore/M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0">
  <r>
    <s v="PIS-39858047"/>
    <s v="Frances Gullefant"/>
    <x v="0"/>
    <n v="8"/>
    <x v="0"/>
    <x v="0"/>
    <x v="0"/>
    <s v="West Virginia"/>
    <x v="0"/>
    <x v="0"/>
    <x v="0"/>
    <x v="0"/>
  </r>
  <r>
    <s v="ROH-40287216"/>
    <s v="Harcourt Zoanetti"/>
    <x v="1"/>
    <n v="5"/>
    <x v="0"/>
    <x v="0"/>
    <x v="1"/>
    <s v="Hawaii"/>
    <x v="1"/>
    <x v="0"/>
    <x v="1"/>
    <x v="1"/>
  </r>
  <r>
    <s v="NKC-39578431"/>
    <s v="Washington Oxteby"/>
    <x v="1"/>
    <n v="3"/>
    <x v="1"/>
    <x v="0"/>
    <x v="2"/>
    <s v="Texas"/>
    <x v="0"/>
    <x v="0"/>
    <x v="2"/>
    <x v="2"/>
  </r>
  <r>
    <s v="APY-17008648"/>
    <s v="Rafe Duffitt"/>
    <x v="2"/>
    <n v="4"/>
    <x v="1"/>
    <x v="0"/>
    <x v="3"/>
    <s v="Florida"/>
    <x v="2"/>
    <x v="1"/>
    <x v="3"/>
    <x v="1"/>
  </r>
  <r>
    <s v="MHK-38443501"/>
    <s v="Tris Bent"/>
    <x v="3"/>
    <n v="8"/>
    <x v="1"/>
    <x v="0"/>
    <x v="4"/>
    <s v="Alabama"/>
    <x v="3"/>
    <x v="0"/>
    <x v="3"/>
    <x v="1"/>
  </r>
  <r>
    <s v="QKL-49133006"/>
    <s v="Kassie Elman"/>
    <x v="2"/>
    <n v="4"/>
    <x v="2"/>
    <x v="0"/>
    <x v="0"/>
    <s v="South Carolina"/>
    <x v="3"/>
    <x v="0"/>
    <x v="2"/>
    <x v="3"/>
  </r>
  <r>
    <s v="ZPZ-31710059"/>
    <s v="Elbertina Hewins"/>
    <x v="4"/>
    <n v="10"/>
    <x v="2"/>
    <x v="1"/>
    <x v="5"/>
    <s v="Florida"/>
    <x v="1"/>
    <x v="0"/>
    <x v="4"/>
    <x v="1"/>
  </r>
  <r>
    <s v="IJF-13083880"/>
    <s v="Garland Chuney"/>
    <x v="1"/>
    <n v="3"/>
    <x v="3"/>
    <x v="0"/>
    <x v="6"/>
    <s v="Arkansas"/>
    <x v="1"/>
    <x v="0"/>
    <x v="5"/>
    <x v="3"/>
  </r>
  <r>
    <s v="ZKW-68562847"/>
    <s v="Caroljean Bischop"/>
    <x v="1"/>
    <n v="3"/>
    <x v="3"/>
    <x v="0"/>
    <x v="7"/>
    <s v="Tennessee"/>
    <x v="3"/>
    <x v="0"/>
    <x v="6"/>
    <x v="1"/>
  </r>
  <r>
    <s v="NIL-47926257"/>
    <s v="Delmor McKleod"/>
    <x v="1"/>
    <n v="6"/>
    <x v="4"/>
    <x v="0"/>
    <x v="8"/>
    <s v="Texas"/>
    <x v="3"/>
    <x v="0"/>
    <x v="7"/>
    <x v="1"/>
  </r>
  <r>
    <s v="BPQ-80812775"/>
    <s v="Julee O'Gavin"/>
    <x v="1"/>
    <n v="3"/>
    <x v="4"/>
    <x v="0"/>
    <x v="9"/>
    <s v="California"/>
    <x v="0"/>
    <x v="2"/>
    <x v="8"/>
    <x v="3"/>
  </r>
  <r>
    <s v="ZOK-34480332"/>
    <s v="Jaye Gribbon"/>
    <x v="0"/>
    <n v="7"/>
    <x v="5"/>
    <x v="0"/>
    <x v="10"/>
    <s v="West Virginia"/>
    <x v="0"/>
    <x v="0"/>
    <x v="9"/>
    <x v="3"/>
  </r>
  <r>
    <s v="ZMB-79323804"/>
    <s v="Brodie Dobrowski"/>
    <x v="1"/>
    <n v="5"/>
    <x v="5"/>
    <x v="0"/>
    <x v="11"/>
    <s v="Pennsylvania"/>
    <x v="0"/>
    <x v="0"/>
    <x v="10"/>
    <x v="3"/>
  </r>
  <r>
    <s v="YYO-56445305"/>
    <s v="Sibylla Kemet"/>
    <x v="2"/>
    <n v="2"/>
    <x v="6"/>
    <x v="0"/>
    <x v="12"/>
    <s v="Arizona"/>
    <x v="3"/>
    <x v="0"/>
    <x v="11"/>
    <x v="1"/>
  </r>
  <r>
    <s v="JYD-67455825"/>
    <s v="Quintilla Hourston"/>
    <x v="1"/>
    <n v="6"/>
    <x v="6"/>
    <x v="1"/>
    <x v="13"/>
    <s v="Iowa"/>
    <x v="1"/>
    <x v="0"/>
    <x v="9"/>
    <x v="1"/>
  </r>
  <r>
    <s v="KNO-93249512"/>
    <s v="Maggi Simpson"/>
    <x v="3"/>
    <n v="9"/>
    <x v="7"/>
    <x v="1"/>
    <x v="14"/>
    <s v="California"/>
    <x v="1"/>
    <x v="0"/>
    <x v="4"/>
    <x v="3"/>
  </r>
  <r>
    <s v="VFG-63863025"/>
    <s v="Early Andrassy"/>
    <x v="4"/>
    <n v="9"/>
    <x v="7"/>
    <x v="0"/>
    <x v="15"/>
    <s v="Michigan"/>
    <x v="0"/>
    <x v="0"/>
    <x v="12"/>
    <x v="1"/>
  </r>
  <r>
    <s v="UCT-41608771"/>
    <s v="Ettie Ruoff"/>
    <x v="2"/>
    <n v="3"/>
    <x v="7"/>
    <x v="0"/>
    <x v="16"/>
    <s v="District of Columbia"/>
    <x v="0"/>
    <x v="2"/>
    <x v="10"/>
    <x v="0"/>
  </r>
  <r>
    <s v="YLF-83918836"/>
    <s v="Bogey McReath"/>
    <x v="3"/>
    <n v="7"/>
    <x v="7"/>
    <x v="0"/>
    <x v="17"/>
    <s v="New York"/>
    <x v="3"/>
    <x v="0"/>
    <x v="13"/>
    <x v="3"/>
  </r>
  <r>
    <s v="QCH-83950486"/>
    <s v="Sephira Philippart"/>
    <x v="1"/>
    <n v="3"/>
    <x v="8"/>
    <x v="0"/>
    <x v="18"/>
    <s v="Wisconsin"/>
    <x v="3"/>
    <x v="0"/>
    <x v="14"/>
    <x v="1"/>
  </r>
  <r>
    <s v="PDB-14404239"/>
    <s v="Charles Sandison"/>
    <x v="0"/>
    <n v="5"/>
    <x v="8"/>
    <x v="0"/>
    <x v="19"/>
    <s v="Florida"/>
    <x v="2"/>
    <x v="1"/>
    <x v="15"/>
    <x v="1"/>
  </r>
  <r>
    <s v="LFZ-17229282"/>
    <s v="Zora Keelin"/>
    <x v="1"/>
    <n v="3"/>
    <x v="9"/>
    <x v="0"/>
    <x v="20"/>
    <s v="Texas"/>
    <x v="1"/>
    <x v="0"/>
    <x v="16"/>
    <x v="2"/>
  </r>
  <r>
    <s v="VKV-67119644"/>
    <s v="Lillis Dewhurst"/>
    <x v="1"/>
    <n v="4"/>
    <x v="9"/>
    <x v="0"/>
    <x v="21"/>
    <s v="California"/>
    <x v="1"/>
    <x v="2"/>
    <x v="8"/>
    <x v="2"/>
  </r>
  <r>
    <s v="PBY-32667898"/>
    <s v="Luz Gudgeon"/>
    <x v="2"/>
    <n v="4"/>
    <x v="10"/>
    <x v="2"/>
    <x v="22"/>
    <s v="Texas"/>
    <x v="0"/>
    <x v="0"/>
    <x v="17"/>
    <x v="0"/>
  </r>
  <r>
    <s v="EWI-18960031"/>
    <s v="Abigale Morgan"/>
    <x v="2"/>
    <n v="4"/>
    <x v="10"/>
    <x v="0"/>
    <x v="23"/>
    <s v="Minnesota"/>
    <x v="0"/>
    <x v="0"/>
    <x v="18"/>
    <x v="3"/>
  </r>
  <r>
    <s v="IYX-48770048"/>
    <s v="Minette Muzzillo"/>
    <x v="2"/>
    <n v="4"/>
    <x v="11"/>
    <x v="0"/>
    <x v="24"/>
    <s v="Colorado"/>
    <x v="2"/>
    <x v="0"/>
    <x v="19"/>
    <x v="1"/>
  </r>
  <r>
    <s v="EVO-87671386"/>
    <s v="Nanon FitzGilbert"/>
    <x v="4"/>
    <n v="10"/>
    <x v="11"/>
    <x v="0"/>
    <x v="25"/>
    <s v="Texas"/>
    <x v="3"/>
    <x v="1"/>
    <x v="20"/>
    <x v="1"/>
  </r>
  <r>
    <s v="ZYX-10467563"/>
    <s v="Ginelle Olver"/>
    <x v="0"/>
    <n v="8"/>
    <x v="12"/>
    <x v="0"/>
    <x v="26"/>
    <s v="Florida"/>
    <x v="1"/>
    <x v="0"/>
    <x v="4"/>
    <x v="0"/>
  </r>
  <r>
    <s v="DZU-03236134"/>
    <s v="Tricia Kinnie"/>
    <x v="1"/>
    <n v="6"/>
    <x v="12"/>
    <x v="0"/>
    <x v="27"/>
    <s v="Kansas"/>
    <x v="1"/>
    <x v="0"/>
    <x v="15"/>
    <x v="3"/>
  </r>
  <r>
    <s v="CAZ-10660311"/>
    <s v="Kristoforo Burnell"/>
    <x v="3"/>
    <n v="7"/>
    <x v="13"/>
    <x v="0"/>
    <x v="28"/>
    <s v="Florida"/>
    <x v="2"/>
    <x v="0"/>
    <x v="21"/>
    <x v="1"/>
  </r>
  <r>
    <s v="ESF-57588548"/>
    <s v="Dulsea Pendry"/>
    <x v="4"/>
    <n v="10"/>
    <x v="13"/>
    <x v="0"/>
    <x v="29"/>
    <s v="Pennsylvania"/>
    <x v="3"/>
    <x v="0"/>
    <x v="3"/>
    <x v="1"/>
  </r>
  <r>
    <s v="WKS-55916097"/>
    <s v="Alberik Jacques"/>
    <x v="0"/>
    <n v="6"/>
    <x v="14"/>
    <x v="2"/>
    <x v="30"/>
    <s v="Texas"/>
    <x v="0"/>
    <x v="1"/>
    <x v="10"/>
    <x v="3"/>
  </r>
  <r>
    <s v="OHX-59443580"/>
    <s v="Banky Falla"/>
    <x v="1"/>
    <n v="5"/>
    <x v="14"/>
    <x v="1"/>
    <x v="31"/>
    <s v="Minnesota"/>
    <x v="1"/>
    <x v="1"/>
    <x v="22"/>
    <x v="0"/>
  </r>
  <r>
    <s v="TLA-11600824"/>
    <s v="Ganny Crampsy"/>
    <x v="1"/>
    <n v="3"/>
    <x v="15"/>
    <x v="2"/>
    <x v="23"/>
    <s v="Minnesota"/>
    <x v="0"/>
    <x v="0"/>
    <x v="10"/>
    <x v="0"/>
  </r>
  <r>
    <s v="YPB-82095843"/>
    <s v="Shari Adrienne"/>
    <x v="1"/>
    <n v="3"/>
    <x v="15"/>
    <x v="0"/>
    <x v="32"/>
    <s v="Texas"/>
    <x v="1"/>
    <x v="0"/>
    <x v="16"/>
    <x v="3"/>
  </r>
  <r>
    <s v="LZU-62237096"/>
    <s v="Charo Aisbett"/>
    <x v="1"/>
    <n v="3"/>
    <x v="16"/>
    <x v="0"/>
    <x v="33"/>
    <s v="Utah"/>
    <x v="3"/>
    <x v="1"/>
    <x v="0"/>
    <x v="1"/>
  </r>
  <r>
    <s v="XCX-53374693"/>
    <s v="Francyne Hagergham"/>
    <x v="1"/>
    <n v="6"/>
    <x v="16"/>
    <x v="0"/>
    <x v="9"/>
    <s v="California"/>
    <x v="3"/>
    <x v="0"/>
    <x v="23"/>
    <x v="1"/>
  </r>
  <r>
    <s v="PJL-11752230"/>
    <s v="Lindsay Bubb"/>
    <x v="4"/>
    <n v="9"/>
    <x v="17"/>
    <x v="0"/>
    <x v="34"/>
    <s v="California"/>
    <x v="1"/>
    <x v="0"/>
    <x v="23"/>
    <x v="1"/>
  </r>
  <r>
    <s v="MFC-52269149"/>
    <s v="Roobbie Pickervance"/>
    <x v="0"/>
    <n v="6"/>
    <x v="17"/>
    <x v="0"/>
    <x v="35"/>
    <s v="Alabama"/>
    <x v="3"/>
    <x v="0"/>
    <x v="2"/>
    <x v="3"/>
  </r>
  <r>
    <s v="TQC-88855863"/>
    <s v="Erminia Lummasana"/>
    <x v="3"/>
    <n v="7"/>
    <x v="18"/>
    <x v="0"/>
    <x v="36"/>
    <s v="Rhode Island"/>
    <x v="2"/>
    <x v="1"/>
    <x v="17"/>
    <x v="1"/>
  </r>
  <r>
    <s v="FGR-90006976"/>
    <s v="Ariel Pittendreigh"/>
    <x v="1"/>
    <n v="4"/>
    <x v="18"/>
    <x v="1"/>
    <x v="37"/>
    <s v="Virginia"/>
    <x v="1"/>
    <x v="0"/>
    <x v="24"/>
    <x v="3"/>
  </r>
  <r>
    <s v="PAT-23706620"/>
    <s v="Rudie Tomsen"/>
    <x v="3"/>
    <n v="7"/>
    <x v="19"/>
    <x v="1"/>
    <x v="38"/>
    <s v="Pennsylvania"/>
    <x v="1"/>
    <x v="0"/>
    <x v="4"/>
    <x v="1"/>
  </r>
  <r>
    <s v="XRX-56871498"/>
    <s v="Alric Scrane"/>
    <x v="2"/>
    <n v="4"/>
    <x v="19"/>
    <x v="1"/>
    <x v="16"/>
    <s v="District of Columbia"/>
    <x v="1"/>
    <x v="0"/>
    <x v="11"/>
    <x v="1"/>
  </r>
  <r>
    <s v="BYM-24034403"/>
    <s v="Eyde Djurevic"/>
    <x v="2"/>
    <n v="2"/>
    <x v="20"/>
    <x v="0"/>
    <x v="39"/>
    <s v="New York"/>
    <x v="0"/>
    <x v="2"/>
    <x v="20"/>
    <x v="0"/>
  </r>
  <r>
    <s v="TNK-37391425"/>
    <s v="Hubey Wartonby"/>
    <x v="1"/>
    <n v="3"/>
    <x v="20"/>
    <x v="1"/>
    <x v="40"/>
    <s v="Nevada"/>
    <x v="1"/>
    <x v="2"/>
    <x v="21"/>
    <x v="3"/>
  </r>
  <r>
    <s v="JJM-32557838"/>
    <s v="Cirstoforo Jemmett"/>
    <x v="2"/>
    <n v="4"/>
    <x v="21"/>
    <x v="0"/>
    <x v="3"/>
    <s v="Florida"/>
    <x v="3"/>
    <x v="0"/>
    <x v="16"/>
    <x v="3"/>
  </r>
  <r>
    <s v="KWC-18652469"/>
    <s v="Elijah Goalby"/>
    <x v="2"/>
    <n v="2"/>
    <x v="21"/>
    <x v="2"/>
    <x v="41"/>
    <s v="California"/>
    <x v="0"/>
    <x v="0"/>
    <x v="20"/>
    <x v="1"/>
  </r>
  <r>
    <s v="GCS-45015293"/>
    <s v="Thaddus Seeley"/>
    <x v="3"/>
    <n v="9"/>
    <x v="22"/>
    <x v="0"/>
    <x v="42"/>
    <s v="California"/>
    <x v="0"/>
    <x v="0"/>
    <x v="16"/>
    <x v="3"/>
  </r>
  <r>
    <s v="IZX-08099835"/>
    <s v="Brody Rebichon"/>
    <x v="1"/>
    <n v="6"/>
    <x v="22"/>
    <x v="0"/>
    <x v="43"/>
    <s v="Illinois"/>
    <x v="0"/>
    <x v="0"/>
    <x v="25"/>
    <x v="3"/>
  </r>
  <r>
    <s v="TPZ-92635583"/>
    <s v="Eartha Boner"/>
    <x v="3"/>
    <n v="8"/>
    <x v="23"/>
    <x v="2"/>
    <x v="44"/>
    <s v="Indiana"/>
    <x v="0"/>
    <x v="0"/>
    <x v="7"/>
    <x v="1"/>
  </r>
  <r>
    <s v="JOT-87331404"/>
    <s v="Loralee Shivell"/>
    <x v="0"/>
    <n v="8"/>
    <x v="23"/>
    <x v="2"/>
    <x v="45"/>
    <s v="Missouri"/>
    <x v="0"/>
    <x v="0"/>
    <x v="18"/>
    <x v="3"/>
  </r>
  <r>
    <s v="OKK-04567923"/>
    <s v="Zacherie Tigner"/>
    <x v="2"/>
    <n v="4"/>
    <x v="23"/>
    <x v="1"/>
    <x v="46"/>
    <s v="California"/>
    <x v="1"/>
    <x v="0"/>
    <x v="11"/>
    <x v="3"/>
  </r>
  <r>
    <s v="TCX-30032546"/>
    <s v="Madelena Pinnock"/>
    <x v="1"/>
    <n v="4"/>
    <x v="23"/>
    <x v="2"/>
    <x v="19"/>
    <s v="Florida"/>
    <x v="0"/>
    <x v="2"/>
    <x v="26"/>
    <x v="3"/>
  </r>
  <r>
    <s v="HMX-04214019"/>
    <s v="Mira Beddows"/>
    <x v="3"/>
    <n v="7"/>
    <x v="24"/>
    <x v="0"/>
    <x v="47"/>
    <s v="Louisiana"/>
    <x v="1"/>
    <x v="0"/>
    <x v="12"/>
    <x v="3"/>
  </r>
  <r>
    <s v="SYU-34524338"/>
    <s v="Giralda Gebby"/>
    <x v="2"/>
    <n v="3"/>
    <x v="24"/>
    <x v="0"/>
    <x v="48"/>
    <s v="Illinois"/>
    <x v="0"/>
    <x v="2"/>
    <x v="8"/>
    <x v="3"/>
  </r>
  <r>
    <s v="GBF-72465641"/>
    <s v="Shelagh Washington"/>
    <x v="2"/>
    <n v="1"/>
    <x v="25"/>
    <x v="0"/>
    <x v="33"/>
    <s v="Utah"/>
    <x v="0"/>
    <x v="0"/>
    <x v="19"/>
    <x v="3"/>
  </r>
  <r>
    <s v="FMF-68865737"/>
    <s v="Janeczka Caze"/>
    <x v="1"/>
    <n v="6"/>
    <x v="25"/>
    <x v="0"/>
    <x v="23"/>
    <s v="Minnesota"/>
    <x v="1"/>
    <x v="0"/>
    <x v="27"/>
    <x v="1"/>
  </r>
  <r>
    <s v="WMA-45712668"/>
    <s v="Angie Francklin"/>
    <x v="1"/>
    <n v="4"/>
    <x v="26"/>
    <x v="0"/>
    <x v="49"/>
    <s v="Indiana"/>
    <x v="2"/>
    <x v="0"/>
    <x v="28"/>
    <x v="1"/>
  </r>
  <r>
    <s v="VEC-69408692"/>
    <s v="Anna-maria McPeice"/>
    <x v="0"/>
    <n v="7"/>
    <x v="26"/>
    <x v="0"/>
    <x v="50"/>
    <s v="Illinois"/>
    <x v="1"/>
    <x v="0"/>
    <x v="29"/>
    <x v="1"/>
  </r>
  <r>
    <s v="MBN-58485152"/>
    <s v="Jude Traise"/>
    <x v="4"/>
    <n v="9"/>
    <x v="27"/>
    <x v="0"/>
    <x v="51"/>
    <s v="Pennsylvania"/>
    <x v="3"/>
    <x v="0"/>
    <x v="0"/>
    <x v="3"/>
  </r>
  <r>
    <s v="VBY-78584211"/>
    <s v="Evangeline Dillingham"/>
    <x v="1"/>
    <n v="5"/>
    <x v="27"/>
    <x v="0"/>
    <x v="52"/>
    <s v="Nevada"/>
    <x v="3"/>
    <x v="0"/>
    <x v="14"/>
    <x v="2"/>
  </r>
  <r>
    <s v="WSO-69134806"/>
    <s v="Patti Gocher"/>
    <x v="2"/>
    <n v="1"/>
    <x v="28"/>
    <x v="1"/>
    <x v="53"/>
    <s v="Illinois"/>
    <x v="1"/>
    <x v="0"/>
    <x v="30"/>
    <x v="2"/>
  </r>
  <r>
    <s v="MYP-30178430"/>
    <s v="Cora Buggs"/>
    <x v="1"/>
    <n v="3"/>
    <x v="28"/>
    <x v="0"/>
    <x v="54"/>
    <s v="Texas"/>
    <x v="0"/>
    <x v="2"/>
    <x v="31"/>
    <x v="3"/>
  </r>
  <r>
    <s v="FRU-31409409"/>
    <s v="Othella Kindle"/>
    <x v="1"/>
    <n v="5"/>
    <x v="28"/>
    <x v="0"/>
    <x v="6"/>
    <s v="Arkansas"/>
    <x v="2"/>
    <x v="0"/>
    <x v="12"/>
    <x v="2"/>
  </r>
  <r>
    <s v="VMZ-59696572"/>
    <s v="Sheppard Withull"/>
    <x v="3"/>
    <n v="8"/>
    <x v="28"/>
    <x v="0"/>
    <x v="55"/>
    <s v="California"/>
    <x v="2"/>
    <x v="1"/>
    <x v="10"/>
    <x v="1"/>
  </r>
  <r>
    <s v="JCE-87896568"/>
    <s v="Llewellyn Pablos"/>
    <x v="4"/>
    <n v="9"/>
    <x v="28"/>
    <x v="1"/>
    <x v="20"/>
    <s v="Texas"/>
    <x v="1"/>
    <x v="0"/>
    <x v="32"/>
    <x v="1"/>
  </r>
  <r>
    <s v="GZL-83273642"/>
    <s v="Lurleen Swadden"/>
    <x v="0"/>
    <n v="8"/>
    <x v="29"/>
    <x v="1"/>
    <x v="43"/>
    <s v="Illinois"/>
    <x v="1"/>
    <x v="0"/>
    <x v="12"/>
    <x v="3"/>
  </r>
  <r>
    <s v="YHK-31842577"/>
    <s v="Ardith Bunting"/>
    <x v="1"/>
    <n v="3"/>
    <x v="29"/>
    <x v="0"/>
    <x v="56"/>
    <s v="Ohio"/>
    <x v="3"/>
    <x v="0"/>
    <x v="33"/>
    <x v="3"/>
  </r>
  <r>
    <s v="BGA-81071725"/>
    <s v="Wylie Gramer"/>
    <x v="1"/>
    <n v="3"/>
    <x v="30"/>
    <x v="0"/>
    <x v="56"/>
    <s v="Georgia"/>
    <x v="3"/>
    <x v="0"/>
    <x v="28"/>
    <x v="1"/>
  </r>
  <r>
    <s v="CRQ-64410572"/>
    <s v="Bat Pond"/>
    <x v="1"/>
    <n v="5"/>
    <x v="30"/>
    <x v="2"/>
    <x v="17"/>
    <s v="New York"/>
    <x v="0"/>
    <x v="1"/>
    <x v="1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12">
  <location ref="A3:C28" firstHeaderRow="1" firstDataRow="1" firstDataCol="2" rowPageCount="1" colPageCount="1"/>
  <pivotFields count="12">
    <pivotField compact="0" outline="0" showAll="0"/>
    <pivotField compact="0" outline="0" showAll="0"/>
    <pivotField axis="axisRow" compact="0" outline="0" showAll="0">
      <items count="6">
        <item x="1"/>
        <item x="0"/>
        <item x="3"/>
        <item x="2"/>
        <item x="4"/>
        <item t="default"/>
      </items>
    </pivotField>
    <pivotField compact="0" outline="0" showAll="0"/>
    <pivotField compact="0" numFmtId="14"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pivotField compact="0" outline="0" showAll="0"/>
    <pivotField compact="0" outline="0" showAll="0"/>
    <pivotField axis="axisRow" compact="0" outline="0" showAll="0">
      <items count="5">
        <item x="1"/>
        <item x="0"/>
        <item x="2"/>
        <item x="3"/>
        <item t="default"/>
      </items>
    </pivotField>
    <pivotField compact="0" outline="0" showAll="0"/>
    <pivotField dataField="1" compact="0" outline="0" showAll="0"/>
    <pivotField axis="axisPage" compact="0" outline="0" showAll="0">
      <items count="5">
        <item x="3"/>
        <item x="0"/>
        <item x="2"/>
        <item x="1"/>
        <item t="default"/>
      </items>
    </pivotField>
  </pivotFields>
  <rowFields count="2">
    <field x="2"/>
    <field x="8"/>
  </rowFields>
  <rowItems count="25">
    <i>
      <x/>
      <x/>
    </i>
    <i r="1">
      <x v="1"/>
    </i>
    <i r="1">
      <x v="2"/>
    </i>
    <i r="1">
      <x v="3"/>
    </i>
    <i t="default">
      <x/>
    </i>
    <i>
      <x v="1"/>
      <x/>
    </i>
    <i r="1">
      <x v="1"/>
    </i>
    <i r="1">
      <x v="2"/>
    </i>
    <i r="1">
      <x v="3"/>
    </i>
    <i t="default">
      <x v="1"/>
    </i>
    <i>
      <x v="2"/>
      <x/>
    </i>
    <i r="1">
      <x v="1"/>
    </i>
    <i r="1">
      <x v="2"/>
    </i>
    <i r="1">
      <x v="3"/>
    </i>
    <i t="default">
      <x v="2"/>
    </i>
    <i>
      <x v="3"/>
      <x/>
    </i>
    <i r="1">
      <x v="1"/>
    </i>
    <i r="1">
      <x v="2"/>
    </i>
    <i r="1">
      <x v="3"/>
    </i>
    <i t="default">
      <x v="3"/>
    </i>
    <i>
      <x v="4"/>
      <x/>
    </i>
    <i r="1">
      <x v="1"/>
    </i>
    <i r="1">
      <x v="3"/>
    </i>
    <i t="default">
      <x v="4"/>
    </i>
    <i t="grand">
      <x/>
    </i>
  </rowItems>
  <colItems count="1">
    <i/>
  </colItems>
  <pageFields count="1">
    <pageField fld="11" hier="-1"/>
  </pageFields>
  <dataFields count="1">
    <dataField name="Sum of Call Duration (Minutes)" fld="10" baseField="0" baseItem="0"/>
  </dataFields>
  <chartFormats count="8">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6">
  <location ref="A3:C21" firstHeaderRow="1" firstDataRow="1" firstDataCol="2"/>
  <pivotFields count="12">
    <pivotField compact="0" outline="0" showAll="0"/>
    <pivotField compact="0" outline="0" showAll="0"/>
    <pivotField compact="0" outline="0" showAll="0">
      <items count="6">
        <item x="1"/>
        <item x="0"/>
        <item x="3"/>
        <item x="2"/>
        <item x="4"/>
        <item t="default"/>
      </items>
    </pivotField>
    <pivotField compact="0" outline="0" showAll="0"/>
    <pivotField compact="0" numFmtId="14"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pivotField compact="0" outline="0" showAll="0"/>
    <pivotField compact="0" outline="0" showAll="0"/>
    <pivotField axis="axisRow" compact="0" outline="0" showAll="0">
      <items count="5">
        <item x="1"/>
        <item x="0"/>
        <item x="2"/>
        <item x="3"/>
        <item t="default"/>
      </items>
    </pivotField>
    <pivotField compact="0" outline="0" showAll="0"/>
    <pivotField dataField="1" compact="0" outline="0" showAll="0"/>
    <pivotField axis="axisRow" compact="0" outline="0" showAll="0" measureFilter="1">
      <items count="5">
        <item x="3"/>
        <item x="0"/>
        <item x="2"/>
        <item x="1"/>
        <item t="default"/>
      </items>
    </pivotField>
  </pivotFields>
  <rowFields count="2">
    <field x="8"/>
    <field x="11"/>
  </rowFields>
  <rowItems count="18">
    <i>
      <x/>
      <x/>
    </i>
    <i r="1">
      <x v="1"/>
    </i>
    <i r="1">
      <x v="2"/>
    </i>
    <i r="1">
      <x v="3"/>
    </i>
    <i t="default">
      <x/>
    </i>
    <i>
      <x v="1"/>
      <x/>
    </i>
    <i r="1">
      <x v="1"/>
    </i>
    <i r="1">
      <x v="2"/>
    </i>
    <i r="1">
      <x v="3"/>
    </i>
    <i t="default">
      <x v="1"/>
    </i>
    <i>
      <x v="2"/>
      <x v="2"/>
    </i>
    <i r="1">
      <x v="3"/>
    </i>
    <i t="default">
      <x v="2"/>
    </i>
    <i>
      <x v="3"/>
      <x/>
    </i>
    <i r="1">
      <x v="2"/>
    </i>
    <i r="1">
      <x v="3"/>
    </i>
    <i t="default">
      <x v="3"/>
    </i>
    <i t="grand">
      <x/>
    </i>
  </rowItems>
  <colItems count="1">
    <i/>
  </colItems>
  <dataFields count="1">
    <dataField name="Sum of Call Duration (Minutes)" fld="10" baseField="0" baseItem="0"/>
  </dataFields>
  <chartFormats count="14">
    <chartFormat chart="3" format="0" series="1">
      <pivotArea type="data" outline="0" fieldPosition="0">
        <references count="1">
          <reference field="4294967294" count="1" selected="0">
            <x v="0"/>
          </reference>
        </references>
      </pivotArea>
    </chartFormat>
    <chartFormat chart="3" format="1">
      <pivotArea type="data" outline="0" fieldPosition="0">
        <references count="3">
          <reference field="4294967294" count="1" selected="0">
            <x v="0"/>
          </reference>
          <reference field="8" count="1" selected="0">
            <x v="1"/>
          </reference>
          <reference field="11" count="1" selected="0">
            <x v="2"/>
          </reference>
        </references>
      </pivotArea>
    </chartFormat>
    <chartFormat chart="3" format="2">
      <pivotArea type="data" outline="0" fieldPosition="0">
        <references count="3">
          <reference field="4294967294" count="1" selected="0">
            <x v="0"/>
          </reference>
          <reference field="8" count="1" selected="0">
            <x v="1"/>
          </reference>
          <reference field="11" count="1" selected="0">
            <x v="3"/>
          </reference>
        </references>
      </pivotArea>
    </chartFormat>
    <chartFormat chart="3" format="3">
      <pivotArea type="data" outline="0" fieldPosition="0">
        <references count="3">
          <reference field="4294967294" count="1" selected="0">
            <x v="0"/>
          </reference>
          <reference field="8" count="1" selected="0">
            <x v="2"/>
          </reference>
          <reference field="11" count="1" selected="0">
            <x v="2"/>
          </reference>
        </references>
      </pivotArea>
    </chartFormat>
    <chartFormat chart="3" format="4">
      <pivotArea type="data" outline="0" fieldPosition="0">
        <references count="3">
          <reference field="4294967294" count="1" selected="0">
            <x v="0"/>
          </reference>
          <reference field="8" count="1" selected="0">
            <x v="1"/>
          </reference>
          <reference field="11" count="1" selected="0">
            <x v="1"/>
          </reference>
        </references>
      </pivotArea>
    </chartFormat>
    <chartFormat chart="3" format="5">
      <pivotArea type="data" outline="0" fieldPosition="0">
        <references count="3">
          <reference field="4294967294" count="1" selected="0">
            <x v="0"/>
          </reference>
          <reference field="8" count="1" selected="0">
            <x v="1"/>
          </reference>
          <reference field="11" count="1" selected="0">
            <x v="0"/>
          </reference>
        </references>
      </pivotArea>
    </chartFormat>
    <chartFormat chart="3" format="6">
      <pivotArea type="data" outline="0" fieldPosition="0">
        <references count="3">
          <reference field="4294967294" count="1" selected="0">
            <x v="0"/>
          </reference>
          <reference field="8" count="1" selected="0">
            <x v="0"/>
          </reference>
          <reference field="11" count="1" selected="0">
            <x v="1"/>
          </reference>
        </references>
      </pivotArea>
    </chartFormat>
    <chartFormat chart="3" format="7">
      <pivotArea type="data" outline="0" fieldPosition="0">
        <references count="3">
          <reference field="4294967294" count="1" selected="0">
            <x v="0"/>
          </reference>
          <reference field="8" count="1" selected="0">
            <x v="3"/>
          </reference>
          <reference field="11" count="1" selected="0">
            <x v="2"/>
          </reference>
        </references>
      </pivotArea>
    </chartFormat>
    <chartFormat chart="3" format="8">
      <pivotArea type="data" outline="0" fieldPosition="0">
        <references count="3">
          <reference field="4294967294" count="1" selected="0">
            <x v="0"/>
          </reference>
          <reference field="8" count="1" selected="0">
            <x v="3"/>
          </reference>
          <reference field="11" count="1" selected="0">
            <x v="0"/>
          </reference>
        </references>
      </pivotArea>
    </chartFormat>
    <chartFormat chart="3" format="9">
      <pivotArea type="data" outline="0" fieldPosition="0">
        <references count="3">
          <reference field="4294967294" count="1" selected="0">
            <x v="0"/>
          </reference>
          <reference field="8" count="1" selected="0">
            <x v="0"/>
          </reference>
          <reference field="11" count="1" selected="0">
            <x v="2"/>
          </reference>
        </references>
      </pivotArea>
    </chartFormat>
    <chartFormat chart="5" format="40">
      <pivotArea type="data" outline="0" fieldPosition="0">
        <references count="3">
          <reference field="4294967294" count="1" selected="0">
            <x v="0"/>
          </reference>
          <reference field="8" count="1" selected="0">
            <x v="1"/>
          </reference>
          <reference field="11" count="1" selected="0">
            <x v="1"/>
          </reference>
        </references>
      </pivotArea>
    </chartFormat>
    <chartFormat chart="5" format="41">
      <pivotArea type="data" outline="0" fieldPosition="0">
        <references count="3">
          <reference field="4294967294" count="1" selected="0">
            <x v="0"/>
          </reference>
          <reference field="8" count="1" selected="0">
            <x v="1"/>
          </reference>
          <reference field="11" count="1" selected="0">
            <x v="2"/>
          </reference>
        </references>
      </pivotArea>
    </chartFormat>
    <chartFormat chart="5" format="42">
      <pivotArea type="data" outline="0" fieldPosition="0">
        <references count="3">
          <reference field="4294967294" count="1" selected="0">
            <x v="0"/>
          </reference>
          <reference field="8" count="1" selected="0">
            <x v="2"/>
          </reference>
          <reference field="11" count="1" selected="0">
            <x v="2"/>
          </reference>
        </references>
      </pivotArea>
    </chartFormat>
    <chartFormat chart="5" format="4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4">
  <location ref="A3:C18" firstHeaderRow="1" firstDataRow="1" firstDataCol="2"/>
  <pivotFields count="12">
    <pivotField compact="0" outline="0" showAll="0"/>
    <pivotField compact="0" outline="0" showAll="0"/>
    <pivotField compact="0" outline="0" showAll="0">
      <items count="6">
        <item x="1"/>
        <item x="0"/>
        <item x="3"/>
        <item x="2"/>
        <item x="4"/>
        <item t="default"/>
      </items>
    </pivotField>
    <pivotField compact="0" outline="0" showAll="0"/>
    <pivotField compact="0" numFmtId="14"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compact="0" outline="0" showAll="0"/>
    <pivotField compact="0" outline="0" showAll="0"/>
    <pivotField compact="0" outline="0" showAll="0"/>
    <pivotField compact="0" outline="0" showAll="0">
      <items count="5">
        <item x="1"/>
        <item x="0"/>
        <item x="2"/>
        <item x="3"/>
        <item t="default"/>
      </items>
    </pivotField>
    <pivotField axis="axisRow" compact="0" outline="0" showAll="0" measureFilter="1">
      <items count="4">
        <item x="2"/>
        <item x="1"/>
        <item x="0"/>
        <item t="default"/>
      </items>
    </pivotField>
    <pivotField dataField="1" compact="0" outline="0" showAll="0"/>
    <pivotField axis="axisRow" compact="0" outline="0" showAll="0">
      <items count="5">
        <item x="3"/>
        <item x="0"/>
        <item x="2"/>
        <item x="1"/>
        <item t="default"/>
      </items>
    </pivotField>
  </pivotFields>
  <rowFields count="2">
    <field x="11"/>
    <field x="9"/>
  </rowFields>
  <rowItems count="15">
    <i>
      <x/>
      <x/>
    </i>
    <i r="1">
      <x v="1"/>
    </i>
    <i r="1">
      <x v="2"/>
    </i>
    <i t="default">
      <x/>
    </i>
    <i>
      <x v="1"/>
      <x/>
    </i>
    <i r="1">
      <x v="1"/>
    </i>
    <i r="1">
      <x v="2"/>
    </i>
    <i t="default">
      <x v="1"/>
    </i>
    <i>
      <x v="2"/>
      <x/>
    </i>
    <i r="1">
      <x v="2"/>
    </i>
    <i t="default">
      <x v="2"/>
    </i>
    <i>
      <x v="3"/>
      <x v="1"/>
    </i>
    <i r="1">
      <x v="2"/>
    </i>
    <i t="default">
      <x v="3"/>
    </i>
    <i t="grand">
      <x/>
    </i>
  </rowItems>
  <colItems count="1">
    <i/>
  </colItems>
  <dataFields count="1">
    <dataField name="Sum of Call Duration (Minutes)" fld="10" baseField="0" baseItem="0"/>
  </dataFields>
  <chartFormats count="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8" indent="0" compact="0" compactData="0" multipleFieldFilters="0" chartFormat="3">
  <location ref="A3:C40" firstHeaderRow="1" firstDataRow="1" firstDataCol="2"/>
  <pivotFields count="12">
    <pivotField compact="0" outline="0" showAll="0"/>
    <pivotField compact="0" outline="0" showAll="0"/>
    <pivotField compact="0" outline="0" showAll="0">
      <items count="6">
        <item x="1"/>
        <item x="0"/>
        <item x="3"/>
        <item x="2"/>
        <item x="4"/>
        <item t="default"/>
      </items>
    </pivotField>
    <pivotField dataField="1" compact="0" outline="0" showAll="0"/>
    <pivotField compact="0" numFmtId="14" outline="0"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compact="0" outline="0" showAll="0" sortType="ascending">
      <items count="4">
        <item x="0"/>
        <item x="1"/>
        <item x="2"/>
        <item t="default"/>
      </items>
    </pivotField>
    <pivotField axis="axisRow" compact="0" outline="0" showAll="0" measureFilter="1" sortType="descending">
      <items count="58">
        <item x="16"/>
        <item x="4"/>
        <item x="12"/>
        <item x="21"/>
        <item x="34"/>
        <item x="27"/>
        <item x="9"/>
        <item x="14"/>
        <item x="33"/>
        <item x="31"/>
        <item x="42"/>
        <item x="50"/>
        <item x="37"/>
        <item x="52"/>
        <item x="36"/>
        <item x="11"/>
        <item x="5"/>
        <item x="41"/>
        <item x="17"/>
        <item x="7"/>
        <item x="48"/>
        <item x="35"/>
        <item x="23"/>
        <item x="18"/>
        <item x="20"/>
        <item x="46"/>
        <item x="6"/>
        <item x="40"/>
        <item x="15"/>
        <item x="54"/>
        <item x="45"/>
        <item x="38"/>
        <item x="10"/>
        <item x="30"/>
        <item x="1"/>
        <item x="51"/>
        <item x="28"/>
        <item x="32"/>
        <item x="44"/>
        <item x="19"/>
        <item x="3"/>
        <item x="26"/>
        <item x="49"/>
        <item x="29"/>
        <item x="8"/>
        <item x="13"/>
        <item x="2"/>
        <item x="22"/>
        <item x="55"/>
        <item x="56"/>
        <item x="24"/>
        <item x="43"/>
        <item x="0"/>
        <item x="39"/>
        <item x="53"/>
        <item x="47"/>
        <item x="25"/>
        <item t="default"/>
      </items>
    </pivotField>
    <pivotField compact="0" outline="0" showAll="0"/>
    <pivotField compact="0" outline="0" showAll="0">
      <items count="5">
        <item x="1"/>
        <item x="0"/>
        <item x="2"/>
        <item x="3"/>
        <item t="default"/>
      </items>
    </pivotField>
    <pivotField compact="0" outline="0" showAll="0"/>
    <pivotField compact="0" outline="0" showAll="0"/>
    <pivotField compact="0" outline="0" showAll="0"/>
  </pivotFields>
  <rowFields count="2">
    <field x="5"/>
    <field x="6"/>
  </rowFields>
  <rowItems count="37">
    <i>
      <x/>
      <x v="1"/>
    </i>
    <i r="1">
      <x v="4"/>
    </i>
    <i r="1">
      <x v="10"/>
    </i>
    <i r="1">
      <x v="11"/>
    </i>
    <i r="1">
      <x v="14"/>
    </i>
    <i r="1">
      <x v="18"/>
    </i>
    <i r="1">
      <x v="28"/>
    </i>
    <i r="1">
      <x v="32"/>
    </i>
    <i r="1">
      <x v="35"/>
    </i>
    <i r="1">
      <x v="36"/>
    </i>
    <i r="1">
      <x v="41"/>
    </i>
    <i r="1">
      <x v="43"/>
    </i>
    <i r="1">
      <x v="48"/>
    </i>
    <i r="1">
      <x v="55"/>
    </i>
    <i r="1">
      <x v="56"/>
    </i>
    <i t="default">
      <x/>
    </i>
    <i>
      <x v="1"/>
      <x/>
    </i>
    <i r="1">
      <x v="7"/>
    </i>
    <i r="1">
      <x v="9"/>
    </i>
    <i r="1">
      <x v="12"/>
    </i>
    <i r="1">
      <x v="16"/>
    </i>
    <i r="1">
      <x v="24"/>
    </i>
    <i r="1">
      <x v="25"/>
    </i>
    <i r="1">
      <x v="31"/>
    </i>
    <i r="1">
      <x v="45"/>
    </i>
    <i r="1">
      <x v="51"/>
    </i>
    <i t="default">
      <x v="1"/>
    </i>
    <i>
      <x v="2"/>
      <x v="17"/>
    </i>
    <i r="1">
      <x v="18"/>
    </i>
    <i r="1">
      <x v="22"/>
    </i>
    <i r="1">
      <x v="30"/>
    </i>
    <i r="1">
      <x v="33"/>
    </i>
    <i r="1">
      <x v="38"/>
    </i>
    <i r="1">
      <x v="39"/>
    </i>
    <i r="1">
      <x v="47"/>
    </i>
    <i t="default">
      <x v="2"/>
    </i>
    <i t="grand">
      <x/>
    </i>
  </rowItems>
  <colItems count="1">
    <i/>
  </colItems>
  <dataFields count="1">
    <dataField name="Average of CSAT Score" fld="3" subtotal="average" baseField="0" baseItem="0"/>
  </dataFields>
  <chartFormats count="2">
    <chartFormat chart="0" format="33" series="1">
      <pivotArea type="data" outline="0" fieldPosition="0">
        <references count="1">
          <reference field="4294967294" count="1" selected="0">
            <x v="0"/>
          </reference>
        </references>
      </pivotArea>
    </chartFormat>
    <chartFormat chart="2" format="3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2">
    <pivotField showAll="0"/>
    <pivotField showAll="0"/>
    <pivotField showAll="0">
      <items count="6">
        <item x="1"/>
        <item x="0"/>
        <item x="3"/>
        <item x="2"/>
        <item x="4"/>
        <item t="default"/>
      </items>
    </pivotField>
    <pivotField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5">
        <item x="1"/>
        <item x="0"/>
        <item x="2"/>
        <item x="3"/>
        <item t="default"/>
      </items>
    </pivotField>
    <pivotField axis="axisRow" dataField="1" showAll="0">
      <items count="4">
        <item x="2"/>
        <item x="1"/>
        <item x="0"/>
        <item t="default"/>
      </items>
    </pivotField>
    <pivotField showAll="0"/>
    <pivotField showAll="0"/>
  </pivotFields>
  <rowFields count="1">
    <field x="9"/>
  </rowFields>
  <rowItems count="4">
    <i>
      <x/>
    </i>
    <i>
      <x v="1"/>
    </i>
    <i>
      <x v="2"/>
    </i>
    <i t="grand">
      <x/>
    </i>
  </rowItems>
  <colItems count="1">
    <i/>
  </colItems>
  <dataFields count="1">
    <dataField name="Count of Response Time" fld="9" subtotal="count" showDataAs="percentOfTotal" baseField="9"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12">
    <pivotField showAll="0"/>
    <pivotField showAll="0"/>
    <pivotField showAll="0">
      <items count="6">
        <item x="1"/>
        <item x="0"/>
        <item x="3"/>
        <item x="2"/>
        <item x="4"/>
        <item t="default"/>
      </items>
    </pivotField>
    <pivotField dataField="1" showAll="0"/>
    <pivotField numFmtId="14" showAll="0">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pivotField showAll="0"/>
    <pivotField showAll="0"/>
    <pivotField showAll="0">
      <items count="5">
        <item x="1"/>
        <item x="0"/>
        <item x="2"/>
        <item x="3"/>
        <item t="default"/>
      </items>
    </pivotField>
    <pivotField showAll="0">
      <items count="4">
        <item x="2"/>
        <item x="1"/>
        <item x="0"/>
        <item t="default"/>
      </items>
    </pivotField>
    <pivotField dataField="1" showAll="0">
      <items count="35">
        <item x="2"/>
        <item x="18"/>
        <item x="12"/>
        <item x="4"/>
        <item x="30"/>
        <item x="6"/>
        <item x="25"/>
        <item x="0"/>
        <item x="5"/>
        <item x="21"/>
        <item x="27"/>
        <item x="33"/>
        <item x="13"/>
        <item x="26"/>
        <item x="28"/>
        <item x="22"/>
        <item x="3"/>
        <item x="24"/>
        <item x="9"/>
        <item x="11"/>
        <item x="14"/>
        <item x="1"/>
        <item x="32"/>
        <item x="19"/>
        <item x="10"/>
        <item x="20"/>
        <item x="29"/>
        <item x="16"/>
        <item x="15"/>
        <item x="17"/>
        <item x="7"/>
        <item x="23"/>
        <item x="8"/>
        <item x="31"/>
        <item t="default"/>
      </items>
    </pivotField>
    <pivotField showAll="0"/>
  </pivotFields>
  <rowItems count="1">
    <i/>
  </rowItems>
  <colFields count="1">
    <field x="-2"/>
  </colFields>
  <colItems count="3">
    <i>
      <x/>
    </i>
    <i i="1">
      <x v="1"/>
    </i>
    <i i="2">
      <x v="2"/>
    </i>
  </colItems>
  <dataFields count="3">
    <dataField name="Sum of Call Duration (Minutes)" fld="10" baseField="0" baseItem="1"/>
    <dataField name="Average of Call Duration (Minutes)2" fld="10" subtotal="average" baseField="0" baseItem="1" numFmtId="2"/>
    <dataField name="Average of CSAT Score" fld="3" subtotal="average" baseField="0" baseItem="2"/>
  </dataFields>
  <formats count="6">
    <format dxfId="0">
      <pivotArea outline="0" collapsedLevelsAreSubtotals="1" fieldPosition="0">
        <references count="1">
          <reference field="4294967294" count="1" selected="0">
            <x v="1"/>
          </reference>
        </references>
      </pivotArea>
    </format>
    <format dxfId="1">
      <pivotArea outline="0" collapsedLevelsAreSubtotals="1" fieldPosition="0">
        <references count="1">
          <reference field="4294967294" count="1" selected="0">
            <x v="1"/>
          </reference>
        </references>
      </pivotArea>
    </format>
    <format dxfId="2">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1"/>
          </reference>
        </references>
      </pivotArea>
    </format>
    <format dxfId="5">
      <pivotArea outline="0" collapsedLevelsAreSubtotals="1" fieldPosition="0">
        <references count="1">
          <reference field="4294967294"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ll_Timestamp" sourceName="Call Timestamp">
  <pivotTables>
    <pivotTable tabId="6" name="PivotTable3"/>
    <pivotTable tabId="4" name="PivotTable1"/>
    <pivotTable tabId="5" name="PivotTable2"/>
    <pivotTable tabId="3" name="PivotTable1"/>
    <pivotTable tabId="10" name="PivotTable1"/>
    <pivotTable tabId="12" name="PivotTable1"/>
  </pivotTables>
  <data>
    <tabular pivotCacheId="1">
      <items count="31">
        <i x="0" s="1"/>
        <i x="1" s="1"/>
        <i x="2" s="1"/>
        <i x="3" s="1"/>
        <i x="4" s="1"/>
        <i x="5" s="1"/>
        <i x="6" s="1"/>
        <i x="7" s="1"/>
        <i x="8" s="1"/>
        <i x="9" s="1"/>
        <i x="10" s="1"/>
        <i x="11" s="1"/>
        <i x="12" s="1"/>
        <i x="13" s="1"/>
        <i x="14" s="1"/>
        <i x="15" s="1"/>
        <i x="16" s="1"/>
        <i x="17" s="1"/>
        <i x="18" s="1"/>
        <i x="19" s="1"/>
        <i x="20" s="1"/>
        <i x="21" s="1"/>
        <i x="22" s="1"/>
        <i x="23" s="1"/>
        <i x="24" s="1"/>
        <i x="25" s="1"/>
        <i x="26" s="1"/>
        <i x="27" s="1"/>
        <i x="28" s="1"/>
        <i x="29" s="1"/>
        <i x="3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hannel" sourceName="Channel">
  <pivotTables>
    <pivotTable tabId="3" name="PivotTable1"/>
    <pivotTable tabId="4" name="PivotTable1"/>
    <pivotTable tabId="5" name="PivotTable2"/>
    <pivotTable tabId="6" name="PivotTable3"/>
    <pivotTable tabId="12" name="PivotTable1"/>
    <pivotTable tabId="10" name="PivotTable1"/>
  </pivotTables>
  <data>
    <tabular pivotCacheId="1">
      <items count="4">
        <i x="1"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entiment" sourceName="Sentiment">
  <pivotTables>
    <pivotTable tabId="3" name="PivotTable1"/>
    <pivotTable tabId="4" name="PivotTable1"/>
    <pivotTable tabId="5" name="PivotTable2"/>
    <pivotTable tabId="6" name="PivotTable3"/>
    <pivotTable tabId="12" name="PivotTable1"/>
    <pivotTable tabId="10" name="PivotTable1"/>
  </pivotTables>
  <data>
    <tabular pivotCacheId="1">
      <items count="5">
        <i x="1" s="1"/>
        <i x="0"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ll Timestamp" cache="Slicer_Call_Timestamp" caption="Call Timestamp" startItem="17" showCaption="0" style="amin" rowHeight="365760"/>
  <slicer name="Channel" cache="Slicer_Channel" caption="Channel" style="amin" rowHeight="365760"/>
  <slicer name="Sentiment" cache="Slicer_Sentiment" caption="Sentiment" style="amin" rowHeight="457200"/>
</slicer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panose="020B06060201040202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panose="020B0602020104020603"/>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N76"/>
  <sheetViews>
    <sheetView showGridLines="0" workbookViewId="0">
      <selection activeCell="F14" sqref="F14"/>
    </sheetView>
  </sheetViews>
  <sheetFormatPr defaultColWidth="8.9140625" defaultRowHeight="14.5" x14ac:dyDescent="0.35"/>
  <cols>
    <col min="1" max="1" width="3.75" style="2" customWidth="1"/>
    <col min="2" max="2" width="15" style="2" customWidth="1"/>
    <col min="3" max="3" width="21" style="2" customWidth="1"/>
    <col min="4" max="4" width="13.75" style="2" customWidth="1"/>
    <col min="5" max="5" width="8.58203125" style="2" customWidth="1"/>
    <col min="6" max="6" width="14.75" style="2" customWidth="1"/>
    <col min="7" max="7" width="15.25" style="2" customWidth="1"/>
    <col min="8" max="8" width="17" style="2" customWidth="1"/>
    <col min="9" max="9" width="18.75" style="2" customWidth="1"/>
    <col min="10" max="10" width="11" style="2" customWidth="1"/>
    <col min="11" max="11" width="14.4140625" style="2" customWidth="1"/>
    <col min="12" max="12" width="13.9140625" style="2" customWidth="1"/>
    <col min="13" max="13" width="14.9140625" style="2" customWidth="1"/>
    <col min="14" max="14" width="10.4140625" style="2" customWidth="1"/>
    <col min="15" max="16384" width="8.9140625" style="2"/>
  </cols>
  <sheetData>
    <row r="2" spans="2:14" ht="19" thickBot="1" x14ac:dyDescent="0.4">
      <c r="B2" s="1" t="s">
        <v>0</v>
      </c>
      <c r="C2" s="1"/>
      <c r="D2" s="1"/>
      <c r="E2" s="1"/>
      <c r="F2" s="1"/>
      <c r="G2" s="1"/>
      <c r="H2" s="1"/>
      <c r="I2" s="1"/>
      <c r="J2" s="1"/>
      <c r="K2" s="1"/>
      <c r="L2" s="1"/>
      <c r="M2" s="1"/>
    </row>
    <row r="4" spans="2:14" ht="19" thickBot="1" x14ac:dyDescent="0.4">
      <c r="B4" s="3" t="s">
        <v>1</v>
      </c>
      <c r="C4" s="1"/>
      <c r="D4" s="1"/>
      <c r="E4" s="1"/>
      <c r="F4" s="1"/>
      <c r="G4" s="1"/>
      <c r="H4" s="1"/>
      <c r="I4" s="1"/>
      <c r="J4" s="1"/>
      <c r="K4" s="1"/>
      <c r="L4" s="1"/>
      <c r="M4" s="1"/>
    </row>
    <row r="6" spans="2:14" ht="33.75" customHeight="1" x14ac:dyDescent="0.35">
      <c r="B6" s="4" t="s">
        <v>2</v>
      </c>
      <c r="C6" s="4" t="s">
        <v>3</v>
      </c>
      <c r="D6" s="4" t="s">
        <v>4</v>
      </c>
      <c r="E6" s="4" t="s">
        <v>5</v>
      </c>
      <c r="F6" s="4" t="s">
        <v>6</v>
      </c>
      <c r="G6" s="4" t="s">
        <v>7</v>
      </c>
      <c r="H6" s="4" t="s">
        <v>8</v>
      </c>
      <c r="I6" s="4" t="s">
        <v>9</v>
      </c>
      <c r="J6" s="4" t="s">
        <v>10</v>
      </c>
      <c r="K6" s="4" t="s">
        <v>11</v>
      </c>
      <c r="L6" s="4" t="s">
        <v>12</v>
      </c>
      <c r="M6" s="4" t="s">
        <v>13</v>
      </c>
    </row>
    <row r="7" spans="2:14" x14ac:dyDescent="0.35">
      <c r="B7" s="5" t="s">
        <v>14</v>
      </c>
      <c r="C7" s="5" t="s">
        <v>15</v>
      </c>
      <c r="D7" s="5" t="s">
        <v>16</v>
      </c>
      <c r="E7" s="5">
        <v>8</v>
      </c>
      <c r="F7" s="6">
        <v>45292</v>
      </c>
      <c r="G7" s="5" t="s">
        <v>17</v>
      </c>
      <c r="H7" s="5" t="s">
        <v>18</v>
      </c>
      <c r="I7" s="5" t="s">
        <v>19</v>
      </c>
      <c r="J7" s="5" t="s">
        <v>20</v>
      </c>
      <c r="K7" s="5" t="s">
        <v>21</v>
      </c>
      <c r="L7" s="5">
        <v>14</v>
      </c>
      <c r="M7" s="5" t="s">
        <v>22</v>
      </c>
      <c r="N7" s="7"/>
    </row>
    <row r="8" spans="2:14" x14ac:dyDescent="0.35">
      <c r="B8" s="5" t="s">
        <v>23</v>
      </c>
      <c r="C8" s="5" t="s">
        <v>24</v>
      </c>
      <c r="D8" s="5" t="s">
        <v>25</v>
      </c>
      <c r="E8" s="5">
        <v>5</v>
      </c>
      <c r="F8" s="6">
        <v>45292</v>
      </c>
      <c r="G8" s="5" t="s">
        <v>17</v>
      </c>
      <c r="H8" s="5" t="s">
        <v>26</v>
      </c>
      <c r="I8" s="5" t="s">
        <v>27</v>
      </c>
      <c r="J8" s="5" t="s">
        <v>28</v>
      </c>
      <c r="K8" s="5" t="s">
        <v>21</v>
      </c>
      <c r="L8" s="5">
        <v>32</v>
      </c>
      <c r="M8" s="5" t="s">
        <v>29</v>
      </c>
      <c r="N8" s="7"/>
    </row>
    <row r="9" spans="2:14" x14ac:dyDescent="0.35">
      <c r="B9" s="5" t="s">
        <v>30</v>
      </c>
      <c r="C9" s="5" t="s">
        <v>31</v>
      </c>
      <c r="D9" s="5" t="s">
        <v>25</v>
      </c>
      <c r="E9" s="5">
        <v>3</v>
      </c>
      <c r="F9" s="6">
        <v>45293</v>
      </c>
      <c r="G9" s="5" t="s">
        <v>17</v>
      </c>
      <c r="H9" s="5" t="s">
        <v>32</v>
      </c>
      <c r="I9" s="5" t="s">
        <v>33</v>
      </c>
      <c r="J9" s="5" t="s">
        <v>20</v>
      </c>
      <c r="K9" s="5" t="s">
        <v>21</v>
      </c>
      <c r="L9" s="5">
        <v>6</v>
      </c>
      <c r="M9" s="5" t="s">
        <v>34</v>
      </c>
      <c r="N9" s="7"/>
    </row>
    <row r="10" spans="2:14" x14ac:dyDescent="0.35">
      <c r="B10" s="5" t="s">
        <v>35</v>
      </c>
      <c r="C10" s="5" t="s">
        <v>36</v>
      </c>
      <c r="D10" s="5" t="s">
        <v>37</v>
      </c>
      <c r="E10" s="5">
        <v>4</v>
      </c>
      <c r="F10" s="6">
        <v>45293</v>
      </c>
      <c r="G10" s="5" t="s">
        <v>17</v>
      </c>
      <c r="H10" s="5" t="s">
        <v>38</v>
      </c>
      <c r="I10" s="5" t="s">
        <v>39</v>
      </c>
      <c r="J10" s="5" t="s">
        <v>40</v>
      </c>
      <c r="K10" s="5" t="s">
        <v>41</v>
      </c>
      <c r="L10" s="5">
        <v>26</v>
      </c>
      <c r="M10" s="5" t="s">
        <v>29</v>
      </c>
      <c r="N10" s="7"/>
    </row>
    <row r="11" spans="2:14" x14ac:dyDescent="0.35">
      <c r="B11" s="5" t="s">
        <v>42</v>
      </c>
      <c r="C11" s="5" t="s">
        <v>43</v>
      </c>
      <c r="D11" s="5" t="s">
        <v>44</v>
      </c>
      <c r="E11" s="5">
        <v>8</v>
      </c>
      <c r="F11" s="6">
        <v>45293</v>
      </c>
      <c r="G11" s="5" t="s">
        <v>17</v>
      </c>
      <c r="H11" s="5" t="s">
        <v>45</v>
      </c>
      <c r="I11" s="5" t="s">
        <v>46</v>
      </c>
      <c r="J11" s="5" t="s">
        <v>47</v>
      </c>
      <c r="K11" s="5" t="s">
        <v>21</v>
      </c>
      <c r="L11" s="5">
        <v>26</v>
      </c>
      <c r="M11" s="5" t="s">
        <v>29</v>
      </c>
      <c r="N11" s="7"/>
    </row>
    <row r="12" spans="2:14" x14ac:dyDescent="0.35">
      <c r="B12" s="5" t="s">
        <v>48</v>
      </c>
      <c r="C12" s="5" t="s">
        <v>49</v>
      </c>
      <c r="D12" s="5" t="s">
        <v>37</v>
      </c>
      <c r="E12" s="5">
        <v>4</v>
      </c>
      <c r="F12" s="6">
        <v>45294</v>
      </c>
      <c r="G12" s="5" t="s">
        <v>17</v>
      </c>
      <c r="H12" s="5" t="s">
        <v>18</v>
      </c>
      <c r="I12" s="5" t="s">
        <v>50</v>
      </c>
      <c r="J12" s="5" t="s">
        <v>47</v>
      </c>
      <c r="K12" s="5" t="s">
        <v>21</v>
      </c>
      <c r="L12" s="5">
        <v>6</v>
      </c>
      <c r="M12" s="5" t="s">
        <v>51</v>
      </c>
      <c r="N12" s="7"/>
    </row>
    <row r="13" spans="2:14" x14ac:dyDescent="0.35">
      <c r="B13" s="5" t="s">
        <v>52</v>
      </c>
      <c r="C13" s="5" t="s">
        <v>53</v>
      </c>
      <c r="D13" s="5" t="s">
        <v>54</v>
      </c>
      <c r="E13" s="5">
        <v>10</v>
      </c>
      <c r="F13" s="6">
        <v>45294</v>
      </c>
      <c r="G13" s="5" t="s">
        <v>55</v>
      </c>
      <c r="H13" s="5" t="s">
        <v>56</v>
      </c>
      <c r="I13" s="5" t="s">
        <v>39</v>
      </c>
      <c r="J13" s="5" t="s">
        <v>28</v>
      </c>
      <c r="K13" s="5" t="s">
        <v>21</v>
      </c>
      <c r="L13" s="5">
        <v>9</v>
      </c>
      <c r="M13" s="5" t="s">
        <v>29</v>
      </c>
      <c r="N13" s="7"/>
    </row>
    <row r="14" spans="2:14" x14ac:dyDescent="0.35">
      <c r="B14" s="5" t="s">
        <v>57</v>
      </c>
      <c r="C14" s="5" t="s">
        <v>58</v>
      </c>
      <c r="D14" s="5" t="s">
        <v>25</v>
      </c>
      <c r="E14" s="5">
        <v>3</v>
      </c>
      <c r="F14" s="6">
        <v>45295</v>
      </c>
      <c r="G14" s="5" t="s">
        <v>17</v>
      </c>
      <c r="H14" s="5" t="s">
        <v>59</v>
      </c>
      <c r="I14" s="5" t="s">
        <v>60</v>
      </c>
      <c r="J14" s="5" t="s">
        <v>28</v>
      </c>
      <c r="K14" s="5" t="s">
        <v>21</v>
      </c>
      <c r="L14" s="5">
        <v>15</v>
      </c>
      <c r="M14" s="5" t="s">
        <v>51</v>
      </c>
      <c r="N14" s="7"/>
    </row>
    <row r="15" spans="2:14" x14ac:dyDescent="0.35">
      <c r="B15" s="5" t="s">
        <v>61</v>
      </c>
      <c r="C15" s="5" t="s">
        <v>62</v>
      </c>
      <c r="D15" s="5" t="s">
        <v>25</v>
      </c>
      <c r="E15" s="5">
        <v>3</v>
      </c>
      <c r="F15" s="6">
        <v>45295</v>
      </c>
      <c r="G15" s="5" t="s">
        <v>17</v>
      </c>
      <c r="H15" s="5" t="s">
        <v>63</v>
      </c>
      <c r="I15" s="5" t="s">
        <v>64</v>
      </c>
      <c r="J15" s="5" t="s">
        <v>47</v>
      </c>
      <c r="K15" s="5" t="s">
        <v>21</v>
      </c>
      <c r="L15" s="5">
        <v>12</v>
      </c>
      <c r="M15" s="5" t="s">
        <v>29</v>
      </c>
      <c r="N15" s="7"/>
    </row>
    <row r="16" spans="2:14" x14ac:dyDescent="0.35">
      <c r="B16" s="5" t="s">
        <v>65</v>
      </c>
      <c r="C16" s="5" t="s">
        <v>66</v>
      </c>
      <c r="D16" s="5" t="s">
        <v>25</v>
      </c>
      <c r="E16" s="5">
        <v>6</v>
      </c>
      <c r="F16" s="6">
        <v>45296</v>
      </c>
      <c r="G16" s="5" t="s">
        <v>17</v>
      </c>
      <c r="H16" s="5" t="s">
        <v>67</v>
      </c>
      <c r="I16" s="5" t="s">
        <v>33</v>
      </c>
      <c r="J16" s="5" t="s">
        <v>47</v>
      </c>
      <c r="K16" s="5" t="s">
        <v>21</v>
      </c>
      <c r="L16" s="5">
        <v>42</v>
      </c>
      <c r="M16" s="5" t="s">
        <v>29</v>
      </c>
      <c r="N16" s="7"/>
    </row>
    <row r="17" spans="2:14" x14ac:dyDescent="0.35">
      <c r="B17" s="5" t="s">
        <v>68</v>
      </c>
      <c r="C17" s="5" t="s">
        <v>69</v>
      </c>
      <c r="D17" s="5" t="s">
        <v>25</v>
      </c>
      <c r="E17" s="5">
        <v>3</v>
      </c>
      <c r="F17" s="6">
        <v>45296</v>
      </c>
      <c r="G17" s="5" t="s">
        <v>17</v>
      </c>
      <c r="H17" s="5" t="s">
        <v>70</v>
      </c>
      <c r="I17" s="5" t="s">
        <v>71</v>
      </c>
      <c r="J17" s="5" t="s">
        <v>20</v>
      </c>
      <c r="K17" s="5" t="s">
        <v>72</v>
      </c>
      <c r="L17" s="5">
        <v>44</v>
      </c>
      <c r="M17" s="5" t="s">
        <v>51</v>
      </c>
      <c r="N17" s="7"/>
    </row>
    <row r="18" spans="2:14" x14ac:dyDescent="0.35">
      <c r="B18" s="5" t="s">
        <v>73</v>
      </c>
      <c r="C18" s="5" t="s">
        <v>74</v>
      </c>
      <c r="D18" s="5" t="s">
        <v>16</v>
      </c>
      <c r="E18" s="5">
        <v>7</v>
      </c>
      <c r="F18" s="6">
        <v>45297</v>
      </c>
      <c r="G18" s="5" t="s">
        <v>17</v>
      </c>
      <c r="H18" s="5" t="s">
        <v>75</v>
      </c>
      <c r="I18" s="5" t="s">
        <v>19</v>
      </c>
      <c r="J18" s="5" t="s">
        <v>20</v>
      </c>
      <c r="K18" s="5" t="s">
        <v>21</v>
      </c>
      <c r="L18" s="5">
        <v>29</v>
      </c>
      <c r="M18" s="5" t="s">
        <v>51</v>
      </c>
      <c r="N18" s="7"/>
    </row>
    <row r="19" spans="2:14" x14ac:dyDescent="0.35">
      <c r="B19" s="5" t="s">
        <v>76</v>
      </c>
      <c r="C19" s="5" t="s">
        <v>77</v>
      </c>
      <c r="D19" s="5" t="s">
        <v>25</v>
      </c>
      <c r="E19" s="5">
        <v>5</v>
      </c>
      <c r="F19" s="6">
        <v>45297</v>
      </c>
      <c r="G19" s="5" t="s">
        <v>17</v>
      </c>
      <c r="H19" s="5" t="s">
        <v>78</v>
      </c>
      <c r="I19" s="5" t="s">
        <v>79</v>
      </c>
      <c r="J19" s="5" t="s">
        <v>20</v>
      </c>
      <c r="K19" s="5" t="s">
        <v>21</v>
      </c>
      <c r="L19" s="5">
        <v>35</v>
      </c>
      <c r="M19" s="5" t="s">
        <v>51</v>
      </c>
      <c r="N19" s="7"/>
    </row>
    <row r="20" spans="2:14" x14ac:dyDescent="0.35">
      <c r="B20" s="5" t="s">
        <v>80</v>
      </c>
      <c r="C20" s="5" t="s">
        <v>81</v>
      </c>
      <c r="D20" s="5" t="s">
        <v>37</v>
      </c>
      <c r="E20" s="5">
        <v>2</v>
      </c>
      <c r="F20" s="6">
        <v>45298</v>
      </c>
      <c r="G20" s="5" t="s">
        <v>17</v>
      </c>
      <c r="H20" s="5" t="s">
        <v>82</v>
      </c>
      <c r="I20" s="5" t="s">
        <v>83</v>
      </c>
      <c r="J20" s="5" t="s">
        <v>47</v>
      </c>
      <c r="K20" s="5" t="s">
        <v>21</v>
      </c>
      <c r="L20" s="5">
        <v>30</v>
      </c>
      <c r="M20" s="5" t="s">
        <v>29</v>
      </c>
      <c r="N20" s="7"/>
    </row>
    <row r="21" spans="2:14" x14ac:dyDescent="0.35">
      <c r="B21" s="5" t="s">
        <v>84</v>
      </c>
      <c r="C21" s="5" t="s">
        <v>85</v>
      </c>
      <c r="D21" s="5" t="s">
        <v>25</v>
      </c>
      <c r="E21" s="5">
        <v>6</v>
      </c>
      <c r="F21" s="6">
        <v>45298</v>
      </c>
      <c r="G21" s="5" t="s">
        <v>55</v>
      </c>
      <c r="H21" s="5" t="s">
        <v>86</v>
      </c>
      <c r="I21" s="5" t="s">
        <v>87</v>
      </c>
      <c r="J21" s="5" t="s">
        <v>28</v>
      </c>
      <c r="K21" s="5" t="s">
        <v>21</v>
      </c>
      <c r="L21" s="5">
        <v>29</v>
      </c>
      <c r="M21" s="5" t="s">
        <v>29</v>
      </c>
      <c r="N21" s="7"/>
    </row>
    <row r="22" spans="2:14" x14ac:dyDescent="0.35">
      <c r="B22" s="5" t="s">
        <v>88</v>
      </c>
      <c r="C22" s="5" t="s">
        <v>89</v>
      </c>
      <c r="D22" s="5" t="s">
        <v>44</v>
      </c>
      <c r="E22" s="5">
        <v>9</v>
      </c>
      <c r="F22" s="6">
        <v>45299</v>
      </c>
      <c r="G22" s="5" t="s">
        <v>55</v>
      </c>
      <c r="H22" s="5" t="s">
        <v>90</v>
      </c>
      <c r="I22" s="5" t="s">
        <v>71</v>
      </c>
      <c r="J22" s="5" t="s">
        <v>28</v>
      </c>
      <c r="K22" s="5" t="s">
        <v>21</v>
      </c>
      <c r="L22" s="5">
        <v>9</v>
      </c>
      <c r="M22" s="5" t="s">
        <v>51</v>
      </c>
      <c r="N22" s="7"/>
    </row>
    <row r="23" spans="2:14" x14ac:dyDescent="0.35">
      <c r="B23" s="5" t="s">
        <v>91</v>
      </c>
      <c r="C23" s="5" t="s">
        <v>92</v>
      </c>
      <c r="D23" s="5" t="s">
        <v>54</v>
      </c>
      <c r="E23" s="5">
        <v>9</v>
      </c>
      <c r="F23" s="6">
        <v>45299</v>
      </c>
      <c r="G23" s="5" t="s">
        <v>17</v>
      </c>
      <c r="H23" s="5" t="s">
        <v>93</v>
      </c>
      <c r="I23" s="5" t="s">
        <v>94</v>
      </c>
      <c r="J23" s="5" t="s">
        <v>20</v>
      </c>
      <c r="K23" s="5" t="s">
        <v>21</v>
      </c>
      <c r="L23" s="5">
        <v>8</v>
      </c>
      <c r="M23" s="5" t="s">
        <v>29</v>
      </c>
      <c r="N23" s="7"/>
    </row>
    <row r="24" spans="2:14" x14ac:dyDescent="0.35">
      <c r="B24" s="5" t="s">
        <v>95</v>
      </c>
      <c r="C24" s="5" t="s">
        <v>96</v>
      </c>
      <c r="D24" s="5" t="s">
        <v>37</v>
      </c>
      <c r="E24" s="5">
        <v>3</v>
      </c>
      <c r="F24" s="6">
        <v>45299</v>
      </c>
      <c r="G24" s="5" t="s">
        <v>17</v>
      </c>
      <c r="H24" s="5" t="s">
        <v>97</v>
      </c>
      <c r="I24" s="5" t="s">
        <v>98</v>
      </c>
      <c r="J24" s="5" t="s">
        <v>20</v>
      </c>
      <c r="K24" s="5" t="s">
        <v>72</v>
      </c>
      <c r="L24" s="5">
        <v>35</v>
      </c>
      <c r="M24" s="5" t="s">
        <v>22</v>
      </c>
      <c r="N24" s="7"/>
    </row>
    <row r="25" spans="2:14" x14ac:dyDescent="0.35">
      <c r="B25" s="5" t="s">
        <v>99</v>
      </c>
      <c r="C25" s="5" t="s">
        <v>100</v>
      </c>
      <c r="D25" s="5" t="s">
        <v>44</v>
      </c>
      <c r="E25" s="5">
        <v>7</v>
      </c>
      <c r="F25" s="6">
        <v>45299</v>
      </c>
      <c r="G25" s="5" t="s">
        <v>17</v>
      </c>
      <c r="H25" s="5" t="s">
        <v>101</v>
      </c>
      <c r="I25" s="5" t="s">
        <v>102</v>
      </c>
      <c r="J25" s="5" t="s">
        <v>47</v>
      </c>
      <c r="K25" s="5" t="s">
        <v>21</v>
      </c>
      <c r="L25" s="5">
        <v>20</v>
      </c>
      <c r="M25" s="5" t="s">
        <v>51</v>
      </c>
      <c r="N25" s="7"/>
    </row>
    <row r="26" spans="2:14" x14ac:dyDescent="0.35">
      <c r="B26" s="5" t="s">
        <v>103</v>
      </c>
      <c r="C26" s="5" t="s">
        <v>104</v>
      </c>
      <c r="D26" s="5" t="s">
        <v>25</v>
      </c>
      <c r="E26" s="5">
        <v>3</v>
      </c>
      <c r="F26" s="6">
        <v>45300</v>
      </c>
      <c r="G26" s="5" t="s">
        <v>17</v>
      </c>
      <c r="H26" s="5" t="s">
        <v>105</v>
      </c>
      <c r="I26" s="5" t="s">
        <v>106</v>
      </c>
      <c r="J26" s="5" t="s">
        <v>47</v>
      </c>
      <c r="K26" s="5" t="s">
        <v>21</v>
      </c>
      <c r="L26" s="5">
        <v>31</v>
      </c>
      <c r="M26" s="5" t="s">
        <v>29</v>
      </c>
      <c r="N26" s="7"/>
    </row>
    <row r="27" spans="2:14" x14ac:dyDescent="0.35">
      <c r="B27" s="5" t="s">
        <v>107</v>
      </c>
      <c r="C27" s="5" t="s">
        <v>108</v>
      </c>
      <c r="D27" s="5" t="s">
        <v>16</v>
      </c>
      <c r="E27" s="5">
        <v>5</v>
      </c>
      <c r="F27" s="6">
        <v>45300</v>
      </c>
      <c r="G27" s="5" t="s">
        <v>17</v>
      </c>
      <c r="H27" s="5" t="s">
        <v>109</v>
      </c>
      <c r="I27" s="5" t="s">
        <v>39</v>
      </c>
      <c r="J27" s="5" t="s">
        <v>40</v>
      </c>
      <c r="K27" s="5" t="s">
        <v>41</v>
      </c>
      <c r="L27" s="5">
        <v>39</v>
      </c>
      <c r="M27" s="5" t="s">
        <v>29</v>
      </c>
      <c r="N27" s="7"/>
    </row>
    <row r="28" spans="2:14" x14ac:dyDescent="0.35">
      <c r="B28" s="5" t="s">
        <v>110</v>
      </c>
      <c r="C28" s="5" t="s">
        <v>111</v>
      </c>
      <c r="D28" s="5" t="s">
        <v>25</v>
      </c>
      <c r="E28" s="5">
        <v>3</v>
      </c>
      <c r="F28" s="6">
        <v>45301</v>
      </c>
      <c r="G28" s="5" t="s">
        <v>17</v>
      </c>
      <c r="H28" s="5" t="s">
        <v>112</v>
      </c>
      <c r="I28" s="5" t="s">
        <v>33</v>
      </c>
      <c r="J28" s="5" t="s">
        <v>28</v>
      </c>
      <c r="K28" s="5" t="s">
        <v>21</v>
      </c>
      <c r="L28" s="5">
        <v>38</v>
      </c>
      <c r="M28" s="5" t="s">
        <v>34</v>
      </c>
      <c r="N28" s="7"/>
    </row>
    <row r="29" spans="2:14" x14ac:dyDescent="0.35">
      <c r="B29" s="5" t="s">
        <v>113</v>
      </c>
      <c r="C29" s="5" t="s">
        <v>114</v>
      </c>
      <c r="D29" s="5" t="s">
        <v>25</v>
      </c>
      <c r="E29" s="5">
        <v>4</v>
      </c>
      <c r="F29" s="6">
        <v>45301</v>
      </c>
      <c r="G29" s="5" t="s">
        <v>17</v>
      </c>
      <c r="H29" s="5" t="s">
        <v>115</v>
      </c>
      <c r="I29" s="5" t="s">
        <v>71</v>
      </c>
      <c r="J29" s="5" t="s">
        <v>28</v>
      </c>
      <c r="K29" s="5" t="s">
        <v>72</v>
      </c>
      <c r="L29" s="5">
        <v>44</v>
      </c>
      <c r="M29" s="5" t="s">
        <v>34</v>
      </c>
      <c r="N29" s="7"/>
    </row>
    <row r="30" spans="2:14" x14ac:dyDescent="0.35">
      <c r="B30" s="5" t="s">
        <v>116</v>
      </c>
      <c r="C30" s="5" t="s">
        <v>117</v>
      </c>
      <c r="D30" s="5" t="s">
        <v>37</v>
      </c>
      <c r="E30" s="5">
        <v>4</v>
      </c>
      <c r="F30" s="6">
        <v>45302</v>
      </c>
      <c r="G30" s="5" t="s">
        <v>118</v>
      </c>
      <c r="H30" s="5" t="s">
        <v>119</v>
      </c>
      <c r="I30" s="5" t="s">
        <v>33</v>
      </c>
      <c r="J30" s="5" t="s">
        <v>20</v>
      </c>
      <c r="K30" s="5" t="s">
        <v>21</v>
      </c>
      <c r="L30" s="5">
        <v>41</v>
      </c>
      <c r="M30" s="5" t="s">
        <v>22</v>
      </c>
      <c r="N30" s="7"/>
    </row>
    <row r="31" spans="2:14" x14ac:dyDescent="0.35">
      <c r="B31" s="5" t="s">
        <v>120</v>
      </c>
      <c r="C31" s="5" t="s">
        <v>121</v>
      </c>
      <c r="D31" s="5" t="s">
        <v>37</v>
      </c>
      <c r="E31" s="5">
        <v>4</v>
      </c>
      <c r="F31" s="6">
        <v>45302</v>
      </c>
      <c r="G31" s="5" t="s">
        <v>17</v>
      </c>
      <c r="H31" s="5" t="s">
        <v>122</v>
      </c>
      <c r="I31" s="5" t="s">
        <v>123</v>
      </c>
      <c r="J31" s="5" t="s">
        <v>20</v>
      </c>
      <c r="K31" s="5" t="s">
        <v>21</v>
      </c>
      <c r="L31" s="5">
        <v>7</v>
      </c>
      <c r="M31" s="5" t="s">
        <v>51</v>
      </c>
      <c r="N31" s="7"/>
    </row>
    <row r="32" spans="2:14" x14ac:dyDescent="0.35">
      <c r="B32" s="5" t="s">
        <v>124</v>
      </c>
      <c r="C32" s="5" t="s">
        <v>125</v>
      </c>
      <c r="D32" s="5" t="s">
        <v>37</v>
      </c>
      <c r="E32" s="5">
        <v>4</v>
      </c>
      <c r="F32" s="6">
        <v>45303</v>
      </c>
      <c r="G32" s="5" t="s">
        <v>17</v>
      </c>
      <c r="H32" s="5" t="s">
        <v>126</v>
      </c>
      <c r="I32" s="5" t="s">
        <v>127</v>
      </c>
      <c r="J32" s="5" t="s">
        <v>40</v>
      </c>
      <c r="K32" s="5" t="s">
        <v>21</v>
      </c>
      <c r="L32" s="5">
        <v>34</v>
      </c>
      <c r="M32" s="5" t="s">
        <v>29</v>
      </c>
      <c r="N32" s="7"/>
    </row>
    <row r="33" spans="2:14" x14ac:dyDescent="0.35">
      <c r="B33" s="5" t="s">
        <v>128</v>
      </c>
      <c r="C33" s="5" t="s">
        <v>129</v>
      </c>
      <c r="D33" s="5" t="s">
        <v>54</v>
      </c>
      <c r="E33" s="5">
        <v>10</v>
      </c>
      <c r="F33" s="6">
        <v>45303</v>
      </c>
      <c r="G33" s="5" t="s">
        <v>17</v>
      </c>
      <c r="H33" s="5" t="s">
        <v>130</v>
      </c>
      <c r="I33" s="5" t="s">
        <v>33</v>
      </c>
      <c r="J33" s="5" t="s">
        <v>47</v>
      </c>
      <c r="K33" s="5" t="s">
        <v>41</v>
      </c>
      <c r="L33" s="5">
        <v>36</v>
      </c>
      <c r="M33" s="5" t="s">
        <v>29</v>
      </c>
      <c r="N33" s="7"/>
    </row>
    <row r="34" spans="2:14" x14ac:dyDescent="0.35">
      <c r="B34" s="5" t="s">
        <v>131</v>
      </c>
      <c r="C34" s="5" t="s">
        <v>132</v>
      </c>
      <c r="D34" s="5" t="s">
        <v>16</v>
      </c>
      <c r="E34" s="5">
        <v>8</v>
      </c>
      <c r="F34" s="6">
        <v>45304</v>
      </c>
      <c r="G34" s="5" t="s">
        <v>17</v>
      </c>
      <c r="H34" s="5" t="s">
        <v>133</v>
      </c>
      <c r="I34" s="5" t="s">
        <v>39</v>
      </c>
      <c r="J34" s="5" t="s">
        <v>28</v>
      </c>
      <c r="K34" s="5" t="s">
        <v>21</v>
      </c>
      <c r="L34" s="5">
        <v>9</v>
      </c>
      <c r="M34" s="5" t="s">
        <v>22</v>
      </c>
      <c r="N34" s="7"/>
    </row>
    <row r="35" spans="2:14" x14ac:dyDescent="0.35">
      <c r="B35" s="5" t="s">
        <v>134</v>
      </c>
      <c r="C35" s="5" t="s">
        <v>135</v>
      </c>
      <c r="D35" s="5" t="s">
        <v>25</v>
      </c>
      <c r="E35" s="5">
        <v>6</v>
      </c>
      <c r="F35" s="6">
        <v>45304</v>
      </c>
      <c r="G35" s="5" t="s">
        <v>17</v>
      </c>
      <c r="H35" s="5" t="s">
        <v>136</v>
      </c>
      <c r="I35" s="5" t="s">
        <v>137</v>
      </c>
      <c r="J35" s="5" t="s">
        <v>28</v>
      </c>
      <c r="K35" s="5" t="s">
        <v>21</v>
      </c>
      <c r="L35" s="5">
        <v>39</v>
      </c>
      <c r="M35" s="5" t="s">
        <v>51</v>
      </c>
      <c r="N35" s="7"/>
    </row>
    <row r="36" spans="2:14" x14ac:dyDescent="0.35">
      <c r="B36" s="5" t="s">
        <v>138</v>
      </c>
      <c r="C36" s="5" t="s">
        <v>139</v>
      </c>
      <c r="D36" s="5" t="s">
        <v>44</v>
      </c>
      <c r="E36" s="5">
        <v>7</v>
      </c>
      <c r="F36" s="6">
        <v>45305</v>
      </c>
      <c r="G36" s="5" t="s">
        <v>17</v>
      </c>
      <c r="H36" s="5" t="s">
        <v>140</v>
      </c>
      <c r="I36" s="5" t="s">
        <v>39</v>
      </c>
      <c r="J36" s="5" t="s">
        <v>40</v>
      </c>
      <c r="K36" s="5" t="s">
        <v>21</v>
      </c>
      <c r="L36" s="5">
        <v>17</v>
      </c>
      <c r="M36" s="5" t="s">
        <v>29</v>
      </c>
      <c r="N36" s="7"/>
    </row>
    <row r="37" spans="2:14" x14ac:dyDescent="0.35">
      <c r="B37" s="5" t="s">
        <v>141</v>
      </c>
      <c r="C37" s="5" t="s">
        <v>142</v>
      </c>
      <c r="D37" s="5" t="s">
        <v>54</v>
      </c>
      <c r="E37" s="5">
        <v>10</v>
      </c>
      <c r="F37" s="6">
        <v>45305</v>
      </c>
      <c r="G37" s="5" t="s">
        <v>17</v>
      </c>
      <c r="H37" s="5" t="s">
        <v>143</v>
      </c>
      <c r="I37" s="5" t="s">
        <v>79</v>
      </c>
      <c r="J37" s="5" t="s">
        <v>47</v>
      </c>
      <c r="K37" s="5" t="s">
        <v>21</v>
      </c>
      <c r="L37" s="5">
        <v>26</v>
      </c>
      <c r="M37" s="5" t="s">
        <v>29</v>
      </c>
      <c r="N37" s="7"/>
    </row>
    <row r="38" spans="2:14" x14ac:dyDescent="0.35">
      <c r="B38" s="5" t="s">
        <v>144</v>
      </c>
      <c r="C38" s="5" t="s">
        <v>145</v>
      </c>
      <c r="D38" s="5" t="s">
        <v>16</v>
      </c>
      <c r="E38" s="5">
        <v>6</v>
      </c>
      <c r="F38" s="6">
        <v>45306</v>
      </c>
      <c r="G38" s="5" t="s">
        <v>118</v>
      </c>
      <c r="H38" s="5" t="s">
        <v>146</v>
      </c>
      <c r="I38" s="5" t="s">
        <v>33</v>
      </c>
      <c r="J38" s="5" t="s">
        <v>20</v>
      </c>
      <c r="K38" s="5" t="s">
        <v>41</v>
      </c>
      <c r="L38" s="5">
        <v>35</v>
      </c>
      <c r="M38" s="5" t="s">
        <v>51</v>
      </c>
      <c r="N38" s="7"/>
    </row>
    <row r="39" spans="2:14" x14ac:dyDescent="0.35">
      <c r="B39" s="5" t="s">
        <v>147</v>
      </c>
      <c r="C39" s="5" t="s">
        <v>148</v>
      </c>
      <c r="D39" s="5" t="s">
        <v>25</v>
      </c>
      <c r="E39" s="5">
        <v>5</v>
      </c>
      <c r="F39" s="6">
        <v>45306</v>
      </c>
      <c r="G39" s="5" t="s">
        <v>55</v>
      </c>
      <c r="H39" s="5" t="s">
        <v>149</v>
      </c>
      <c r="I39" s="5" t="s">
        <v>123</v>
      </c>
      <c r="J39" s="5" t="s">
        <v>28</v>
      </c>
      <c r="K39" s="5" t="s">
        <v>41</v>
      </c>
      <c r="L39" s="5">
        <v>25</v>
      </c>
      <c r="M39" s="5" t="s">
        <v>22</v>
      </c>
      <c r="N39" s="7"/>
    </row>
    <row r="40" spans="2:14" x14ac:dyDescent="0.35">
      <c r="B40" s="5" t="s">
        <v>150</v>
      </c>
      <c r="C40" s="5" t="s">
        <v>151</v>
      </c>
      <c r="D40" s="5" t="s">
        <v>25</v>
      </c>
      <c r="E40" s="5">
        <v>3</v>
      </c>
      <c r="F40" s="6">
        <v>45307</v>
      </c>
      <c r="G40" s="5" t="s">
        <v>118</v>
      </c>
      <c r="H40" s="5" t="s">
        <v>122</v>
      </c>
      <c r="I40" s="5" t="s">
        <v>123</v>
      </c>
      <c r="J40" s="5" t="s">
        <v>20</v>
      </c>
      <c r="K40" s="5" t="s">
        <v>21</v>
      </c>
      <c r="L40" s="5">
        <v>35</v>
      </c>
      <c r="M40" s="5" t="s">
        <v>22</v>
      </c>
      <c r="N40" s="7"/>
    </row>
    <row r="41" spans="2:14" x14ac:dyDescent="0.35">
      <c r="B41" s="5" t="s">
        <v>152</v>
      </c>
      <c r="C41" s="5" t="s">
        <v>153</v>
      </c>
      <c r="D41" s="5" t="s">
        <v>25</v>
      </c>
      <c r="E41" s="5">
        <v>3</v>
      </c>
      <c r="F41" s="6">
        <v>45307</v>
      </c>
      <c r="G41" s="5" t="s">
        <v>17</v>
      </c>
      <c r="H41" s="5" t="s">
        <v>154</v>
      </c>
      <c r="I41" s="5" t="s">
        <v>33</v>
      </c>
      <c r="J41" s="5" t="s">
        <v>28</v>
      </c>
      <c r="K41" s="5" t="s">
        <v>21</v>
      </c>
      <c r="L41" s="5">
        <v>38</v>
      </c>
      <c r="M41" s="5" t="s">
        <v>51</v>
      </c>
      <c r="N41" s="7"/>
    </row>
    <row r="42" spans="2:14" x14ac:dyDescent="0.35">
      <c r="B42" s="5" t="s">
        <v>155</v>
      </c>
      <c r="C42" s="5" t="s">
        <v>156</v>
      </c>
      <c r="D42" s="5" t="s">
        <v>25</v>
      </c>
      <c r="E42" s="5">
        <v>3</v>
      </c>
      <c r="F42" s="6">
        <v>45308</v>
      </c>
      <c r="G42" s="5" t="s">
        <v>17</v>
      </c>
      <c r="H42" s="5" t="s">
        <v>157</v>
      </c>
      <c r="I42" s="5" t="s">
        <v>158</v>
      </c>
      <c r="J42" s="5" t="s">
        <v>47</v>
      </c>
      <c r="K42" s="5" t="s">
        <v>41</v>
      </c>
      <c r="L42" s="5">
        <v>14</v>
      </c>
      <c r="M42" s="5" t="s">
        <v>29</v>
      </c>
      <c r="N42" s="7"/>
    </row>
    <row r="43" spans="2:14" x14ac:dyDescent="0.35">
      <c r="B43" s="5" t="s">
        <v>159</v>
      </c>
      <c r="C43" s="5" t="s">
        <v>160</v>
      </c>
      <c r="D43" s="5" t="s">
        <v>25</v>
      </c>
      <c r="E43" s="5">
        <v>6</v>
      </c>
      <c r="F43" s="6">
        <v>45308</v>
      </c>
      <c r="G43" s="5" t="s">
        <v>17</v>
      </c>
      <c r="H43" s="5" t="s">
        <v>70</v>
      </c>
      <c r="I43" s="5" t="s">
        <v>71</v>
      </c>
      <c r="J43" s="5" t="s">
        <v>47</v>
      </c>
      <c r="K43" s="5" t="s">
        <v>21</v>
      </c>
      <c r="L43" s="5">
        <v>43</v>
      </c>
      <c r="M43" s="5" t="s">
        <v>29</v>
      </c>
      <c r="N43" s="7"/>
    </row>
    <row r="44" spans="2:14" x14ac:dyDescent="0.35">
      <c r="B44" s="5" t="s">
        <v>161</v>
      </c>
      <c r="C44" s="5" t="s">
        <v>162</v>
      </c>
      <c r="D44" s="5" t="s">
        <v>54</v>
      </c>
      <c r="E44" s="5">
        <v>9</v>
      </c>
      <c r="F44" s="6">
        <v>45309</v>
      </c>
      <c r="G44" s="5" t="s">
        <v>17</v>
      </c>
      <c r="H44" s="5" t="s">
        <v>163</v>
      </c>
      <c r="I44" s="5" t="s">
        <v>71</v>
      </c>
      <c r="J44" s="5" t="s">
        <v>28</v>
      </c>
      <c r="K44" s="5" t="s">
        <v>21</v>
      </c>
      <c r="L44" s="5">
        <v>43</v>
      </c>
      <c r="M44" s="5" t="s">
        <v>29</v>
      </c>
      <c r="N44" s="7"/>
    </row>
    <row r="45" spans="2:14" x14ac:dyDescent="0.35">
      <c r="B45" s="5" t="s">
        <v>164</v>
      </c>
      <c r="C45" s="5" t="s">
        <v>165</v>
      </c>
      <c r="D45" s="5" t="s">
        <v>16</v>
      </c>
      <c r="E45" s="5">
        <v>6</v>
      </c>
      <c r="F45" s="6">
        <v>45309</v>
      </c>
      <c r="G45" s="5" t="s">
        <v>17</v>
      </c>
      <c r="H45" s="5" t="s">
        <v>166</v>
      </c>
      <c r="I45" s="5" t="s">
        <v>46</v>
      </c>
      <c r="J45" s="5" t="s">
        <v>47</v>
      </c>
      <c r="K45" s="5" t="s">
        <v>21</v>
      </c>
      <c r="L45" s="5">
        <v>6</v>
      </c>
      <c r="M45" s="5" t="s">
        <v>51</v>
      </c>
      <c r="N45" s="7"/>
    </row>
    <row r="46" spans="2:14" x14ac:dyDescent="0.35">
      <c r="B46" s="5" t="s">
        <v>167</v>
      </c>
      <c r="C46" s="5" t="s">
        <v>168</v>
      </c>
      <c r="D46" s="5" t="s">
        <v>44</v>
      </c>
      <c r="E46" s="5">
        <v>7</v>
      </c>
      <c r="F46" s="6">
        <v>45310</v>
      </c>
      <c r="G46" s="5" t="s">
        <v>17</v>
      </c>
      <c r="H46" s="5" t="s">
        <v>169</v>
      </c>
      <c r="I46" s="5" t="s">
        <v>170</v>
      </c>
      <c r="J46" s="5" t="s">
        <v>40</v>
      </c>
      <c r="K46" s="5" t="s">
        <v>41</v>
      </c>
      <c r="L46" s="5">
        <v>41</v>
      </c>
      <c r="M46" s="5" t="s">
        <v>29</v>
      </c>
      <c r="N46" s="7"/>
    </row>
    <row r="47" spans="2:14" x14ac:dyDescent="0.35">
      <c r="B47" s="5" t="s">
        <v>171</v>
      </c>
      <c r="C47" s="5" t="s">
        <v>172</v>
      </c>
      <c r="D47" s="5" t="s">
        <v>25</v>
      </c>
      <c r="E47" s="5">
        <v>4</v>
      </c>
      <c r="F47" s="6">
        <v>45310</v>
      </c>
      <c r="G47" s="5" t="s">
        <v>55</v>
      </c>
      <c r="H47" s="5" t="s">
        <v>173</v>
      </c>
      <c r="I47" s="5" t="s">
        <v>174</v>
      </c>
      <c r="J47" s="5" t="s">
        <v>28</v>
      </c>
      <c r="K47" s="5" t="s">
        <v>21</v>
      </c>
      <c r="L47" s="5">
        <v>27</v>
      </c>
      <c r="M47" s="5" t="s">
        <v>51</v>
      </c>
      <c r="N47" s="7"/>
    </row>
    <row r="48" spans="2:14" x14ac:dyDescent="0.35">
      <c r="B48" s="5" t="s">
        <v>175</v>
      </c>
      <c r="C48" s="5" t="s">
        <v>176</v>
      </c>
      <c r="D48" s="5" t="s">
        <v>44</v>
      </c>
      <c r="E48" s="5">
        <v>7</v>
      </c>
      <c r="F48" s="6">
        <v>45311</v>
      </c>
      <c r="G48" s="5" t="s">
        <v>55</v>
      </c>
      <c r="H48" s="5" t="s">
        <v>177</v>
      </c>
      <c r="I48" s="5" t="s">
        <v>79</v>
      </c>
      <c r="J48" s="5" t="s">
        <v>28</v>
      </c>
      <c r="K48" s="5" t="s">
        <v>21</v>
      </c>
      <c r="L48" s="5">
        <v>9</v>
      </c>
      <c r="M48" s="5" t="s">
        <v>29</v>
      </c>
      <c r="N48" s="7"/>
    </row>
    <row r="49" spans="2:14" x14ac:dyDescent="0.35">
      <c r="B49" s="5" t="s">
        <v>178</v>
      </c>
      <c r="C49" s="5" t="s">
        <v>179</v>
      </c>
      <c r="D49" s="5" t="s">
        <v>37</v>
      </c>
      <c r="E49" s="5">
        <v>4</v>
      </c>
      <c r="F49" s="6">
        <v>45311</v>
      </c>
      <c r="G49" s="5" t="s">
        <v>55</v>
      </c>
      <c r="H49" s="5" t="s">
        <v>97</v>
      </c>
      <c r="I49" s="5" t="s">
        <v>98</v>
      </c>
      <c r="J49" s="5" t="s">
        <v>28</v>
      </c>
      <c r="K49" s="5" t="s">
        <v>21</v>
      </c>
      <c r="L49" s="5">
        <v>30</v>
      </c>
      <c r="M49" s="5" t="s">
        <v>29</v>
      </c>
      <c r="N49" s="7"/>
    </row>
    <row r="50" spans="2:14" x14ac:dyDescent="0.35">
      <c r="B50" s="5" t="s">
        <v>180</v>
      </c>
      <c r="C50" s="5" t="s">
        <v>181</v>
      </c>
      <c r="D50" s="5" t="s">
        <v>37</v>
      </c>
      <c r="E50" s="5">
        <v>2</v>
      </c>
      <c r="F50" s="6">
        <v>45312</v>
      </c>
      <c r="G50" s="5" t="s">
        <v>17</v>
      </c>
      <c r="H50" s="5" t="s">
        <v>182</v>
      </c>
      <c r="I50" s="5" t="s">
        <v>102</v>
      </c>
      <c r="J50" s="5" t="s">
        <v>20</v>
      </c>
      <c r="K50" s="5" t="s">
        <v>72</v>
      </c>
      <c r="L50" s="5">
        <v>36</v>
      </c>
      <c r="M50" s="5" t="s">
        <v>22</v>
      </c>
      <c r="N50" s="7"/>
    </row>
    <row r="51" spans="2:14" x14ac:dyDescent="0.35">
      <c r="B51" s="5" t="s">
        <v>183</v>
      </c>
      <c r="C51" s="5" t="s">
        <v>184</v>
      </c>
      <c r="D51" s="5" t="s">
        <v>25</v>
      </c>
      <c r="E51" s="5">
        <v>3</v>
      </c>
      <c r="F51" s="6">
        <v>45312</v>
      </c>
      <c r="G51" s="5" t="s">
        <v>55</v>
      </c>
      <c r="H51" s="5" t="s">
        <v>185</v>
      </c>
      <c r="I51" s="5" t="s">
        <v>186</v>
      </c>
      <c r="J51" s="5" t="s">
        <v>28</v>
      </c>
      <c r="K51" s="5" t="s">
        <v>72</v>
      </c>
      <c r="L51" s="5">
        <v>17</v>
      </c>
      <c r="M51" s="5" t="s">
        <v>51</v>
      </c>
      <c r="N51" s="7"/>
    </row>
    <row r="52" spans="2:14" x14ac:dyDescent="0.35">
      <c r="B52" s="5" t="s">
        <v>187</v>
      </c>
      <c r="C52" s="5" t="s">
        <v>188</v>
      </c>
      <c r="D52" s="5" t="s">
        <v>37</v>
      </c>
      <c r="E52" s="5">
        <v>4</v>
      </c>
      <c r="F52" s="6">
        <v>45313</v>
      </c>
      <c r="G52" s="5" t="s">
        <v>17</v>
      </c>
      <c r="H52" s="5" t="s">
        <v>38</v>
      </c>
      <c r="I52" s="5" t="s">
        <v>39</v>
      </c>
      <c r="J52" s="5" t="s">
        <v>47</v>
      </c>
      <c r="K52" s="5" t="s">
        <v>21</v>
      </c>
      <c r="L52" s="5">
        <v>38</v>
      </c>
      <c r="M52" s="5" t="s">
        <v>51</v>
      </c>
      <c r="N52" s="7"/>
    </row>
    <row r="53" spans="2:14" x14ac:dyDescent="0.35">
      <c r="B53" s="5" t="s">
        <v>189</v>
      </c>
      <c r="C53" s="5" t="s">
        <v>190</v>
      </c>
      <c r="D53" s="5" t="s">
        <v>37</v>
      </c>
      <c r="E53" s="5">
        <v>2</v>
      </c>
      <c r="F53" s="6">
        <v>45313</v>
      </c>
      <c r="G53" s="5" t="s">
        <v>118</v>
      </c>
      <c r="H53" s="5" t="s">
        <v>191</v>
      </c>
      <c r="I53" s="5" t="s">
        <v>71</v>
      </c>
      <c r="J53" s="5" t="s">
        <v>20</v>
      </c>
      <c r="K53" s="5" t="s">
        <v>21</v>
      </c>
      <c r="L53" s="5">
        <v>36</v>
      </c>
      <c r="M53" s="5" t="s">
        <v>29</v>
      </c>
      <c r="N53" s="7"/>
    </row>
    <row r="54" spans="2:14" x14ac:dyDescent="0.35">
      <c r="B54" s="5" t="s">
        <v>192</v>
      </c>
      <c r="C54" s="5" t="s">
        <v>193</v>
      </c>
      <c r="D54" s="5" t="s">
        <v>44</v>
      </c>
      <c r="E54" s="5">
        <v>9</v>
      </c>
      <c r="F54" s="6">
        <v>45314</v>
      </c>
      <c r="G54" s="5" t="s">
        <v>17</v>
      </c>
      <c r="H54" s="5" t="s">
        <v>194</v>
      </c>
      <c r="I54" s="5" t="s">
        <v>71</v>
      </c>
      <c r="J54" s="5" t="s">
        <v>20</v>
      </c>
      <c r="K54" s="5" t="s">
        <v>21</v>
      </c>
      <c r="L54" s="5">
        <v>38</v>
      </c>
      <c r="M54" s="5" t="s">
        <v>51</v>
      </c>
      <c r="N54" s="7"/>
    </row>
    <row r="55" spans="2:14" x14ac:dyDescent="0.35">
      <c r="B55" s="5" t="s">
        <v>195</v>
      </c>
      <c r="C55" s="5" t="s">
        <v>196</v>
      </c>
      <c r="D55" s="5" t="s">
        <v>25</v>
      </c>
      <c r="E55" s="5">
        <v>6</v>
      </c>
      <c r="F55" s="6">
        <v>45314</v>
      </c>
      <c r="G55" s="5" t="s">
        <v>17</v>
      </c>
      <c r="H55" s="5" t="s">
        <v>197</v>
      </c>
      <c r="I55" s="5" t="s">
        <v>198</v>
      </c>
      <c r="J55" s="5" t="s">
        <v>20</v>
      </c>
      <c r="K55" s="5" t="s">
        <v>21</v>
      </c>
      <c r="L55" s="5">
        <v>13</v>
      </c>
      <c r="M55" s="5" t="s">
        <v>51</v>
      </c>
      <c r="N55" s="7"/>
    </row>
    <row r="56" spans="2:14" x14ac:dyDescent="0.35">
      <c r="B56" s="5" t="s">
        <v>199</v>
      </c>
      <c r="C56" s="5" t="s">
        <v>200</v>
      </c>
      <c r="D56" s="5" t="s">
        <v>44</v>
      </c>
      <c r="E56" s="5">
        <v>8</v>
      </c>
      <c r="F56" s="6">
        <v>45315</v>
      </c>
      <c r="G56" s="5" t="s">
        <v>118</v>
      </c>
      <c r="H56" s="5" t="s">
        <v>201</v>
      </c>
      <c r="I56" s="5" t="s">
        <v>202</v>
      </c>
      <c r="J56" s="5" t="s">
        <v>20</v>
      </c>
      <c r="K56" s="5" t="s">
        <v>21</v>
      </c>
      <c r="L56" s="5">
        <v>42</v>
      </c>
      <c r="M56" s="5" t="s">
        <v>29</v>
      </c>
      <c r="N56" s="7"/>
    </row>
    <row r="57" spans="2:14" x14ac:dyDescent="0.35">
      <c r="B57" s="5" t="s">
        <v>203</v>
      </c>
      <c r="C57" s="5" t="s">
        <v>204</v>
      </c>
      <c r="D57" s="5" t="s">
        <v>16</v>
      </c>
      <c r="E57" s="5">
        <v>8</v>
      </c>
      <c r="F57" s="6">
        <v>45315</v>
      </c>
      <c r="G57" s="5" t="s">
        <v>118</v>
      </c>
      <c r="H57" s="5" t="s">
        <v>205</v>
      </c>
      <c r="I57" s="5" t="s">
        <v>206</v>
      </c>
      <c r="J57" s="5" t="s">
        <v>20</v>
      </c>
      <c r="K57" s="5" t="s">
        <v>21</v>
      </c>
      <c r="L57" s="5">
        <v>7</v>
      </c>
      <c r="M57" s="5" t="s">
        <v>51</v>
      </c>
      <c r="N57" s="7"/>
    </row>
    <row r="58" spans="2:14" x14ac:dyDescent="0.35">
      <c r="B58" s="5" t="s">
        <v>207</v>
      </c>
      <c r="C58" s="5" t="s">
        <v>208</v>
      </c>
      <c r="D58" s="5" t="s">
        <v>37</v>
      </c>
      <c r="E58" s="5">
        <v>4</v>
      </c>
      <c r="F58" s="6">
        <v>45315</v>
      </c>
      <c r="G58" s="5" t="s">
        <v>55</v>
      </c>
      <c r="H58" s="5" t="s">
        <v>209</v>
      </c>
      <c r="I58" s="5" t="s">
        <v>71</v>
      </c>
      <c r="J58" s="5" t="s">
        <v>28</v>
      </c>
      <c r="K58" s="5" t="s">
        <v>21</v>
      </c>
      <c r="L58" s="5">
        <v>30</v>
      </c>
      <c r="M58" s="5" t="s">
        <v>51</v>
      </c>
      <c r="N58" s="7"/>
    </row>
    <row r="59" spans="2:14" x14ac:dyDescent="0.35">
      <c r="B59" s="5" t="s">
        <v>210</v>
      </c>
      <c r="C59" s="5" t="s">
        <v>211</v>
      </c>
      <c r="D59" s="5" t="s">
        <v>25</v>
      </c>
      <c r="E59" s="5">
        <v>4</v>
      </c>
      <c r="F59" s="6">
        <v>45315</v>
      </c>
      <c r="G59" s="5" t="s">
        <v>118</v>
      </c>
      <c r="H59" s="5" t="s">
        <v>109</v>
      </c>
      <c r="I59" s="5" t="s">
        <v>39</v>
      </c>
      <c r="J59" s="5" t="s">
        <v>20</v>
      </c>
      <c r="K59" s="5" t="s">
        <v>72</v>
      </c>
      <c r="L59" s="5">
        <v>22</v>
      </c>
      <c r="M59" s="5" t="s">
        <v>51</v>
      </c>
      <c r="N59" s="7"/>
    </row>
    <row r="60" spans="2:14" x14ac:dyDescent="0.35">
      <c r="B60" s="5" t="s">
        <v>212</v>
      </c>
      <c r="C60" s="5" t="s">
        <v>213</v>
      </c>
      <c r="D60" s="5" t="s">
        <v>44</v>
      </c>
      <c r="E60" s="5">
        <v>7</v>
      </c>
      <c r="F60" s="6">
        <v>45316</v>
      </c>
      <c r="G60" s="5" t="s">
        <v>17</v>
      </c>
      <c r="H60" s="5" t="s">
        <v>214</v>
      </c>
      <c r="I60" s="5" t="s">
        <v>215</v>
      </c>
      <c r="J60" s="5" t="s">
        <v>28</v>
      </c>
      <c r="K60" s="5" t="s">
        <v>21</v>
      </c>
      <c r="L60" s="5">
        <v>8</v>
      </c>
      <c r="M60" s="5" t="s">
        <v>51</v>
      </c>
      <c r="N60" s="7"/>
    </row>
    <row r="61" spans="2:14" x14ac:dyDescent="0.35">
      <c r="B61" s="5" t="s">
        <v>216</v>
      </c>
      <c r="C61" s="5" t="s">
        <v>217</v>
      </c>
      <c r="D61" s="5" t="s">
        <v>37</v>
      </c>
      <c r="E61" s="5">
        <v>3</v>
      </c>
      <c r="F61" s="6">
        <v>45316</v>
      </c>
      <c r="G61" s="5" t="s">
        <v>17</v>
      </c>
      <c r="H61" s="5" t="s">
        <v>218</v>
      </c>
      <c r="I61" s="5" t="s">
        <v>198</v>
      </c>
      <c r="J61" s="5" t="s">
        <v>20</v>
      </c>
      <c r="K61" s="5" t="s">
        <v>72</v>
      </c>
      <c r="L61" s="5">
        <v>44</v>
      </c>
      <c r="M61" s="5" t="s">
        <v>51</v>
      </c>
      <c r="N61" s="7"/>
    </row>
    <row r="62" spans="2:14" x14ac:dyDescent="0.35">
      <c r="B62" s="5" t="s">
        <v>219</v>
      </c>
      <c r="C62" s="5" t="s">
        <v>220</v>
      </c>
      <c r="D62" s="5" t="s">
        <v>37</v>
      </c>
      <c r="E62" s="5">
        <v>1</v>
      </c>
      <c r="F62" s="6">
        <v>45317</v>
      </c>
      <c r="G62" s="5" t="s">
        <v>17</v>
      </c>
      <c r="H62" s="5" t="s">
        <v>157</v>
      </c>
      <c r="I62" s="5" t="s">
        <v>158</v>
      </c>
      <c r="J62" s="5" t="s">
        <v>20</v>
      </c>
      <c r="K62" s="5" t="s">
        <v>21</v>
      </c>
      <c r="L62" s="5">
        <v>34</v>
      </c>
      <c r="M62" s="5" t="s">
        <v>51</v>
      </c>
      <c r="N62" s="7"/>
    </row>
    <row r="63" spans="2:14" x14ac:dyDescent="0.35">
      <c r="B63" s="5" t="s">
        <v>221</v>
      </c>
      <c r="C63" s="5" t="s">
        <v>222</v>
      </c>
      <c r="D63" s="5" t="s">
        <v>25</v>
      </c>
      <c r="E63" s="5">
        <v>6</v>
      </c>
      <c r="F63" s="6">
        <v>45317</v>
      </c>
      <c r="G63" s="5" t="s">
        <v>17</v>
      </c>
      <c r="H63" s="5" t="s">
        <v>122</v>
      </c>
      <c r="I63" s="5" t="s">
        <v>123</v>
      </c>
      <c r="J63" s="5" t="s">
        <v>28</v>
      </c>
      <c r="K63" s="5" t="s">
        <v>21</v>
      </c>
      <c r="L63" s="5">
        <v>18</v>
      </c>
      <c r="M63" s="5" t="s">
        <v>29</v>
      </c>
      <c r="N63" s="7"/>
    </row>
    <row r="64" spans="2:14" x14ac:dyDescent="0.35">
      <c r="B64" s="5" t="s">
        <v>223</v>
      </c>
      <c r="C64" s="5" t="s">
        <v>224</v>
      </c>
      <c r="D64" s="5" t="s">
        <v>25</v>
      </c>
      <c r="E64" s="5">
        <v>4</v>
      </c>
      <c r="F64" s="6">
        <v>45318</v>
      </c>
      <c r="G64" s="5" t="s">
        <v>17</v>
      </c>
      <c r="H64" s="5" t="s">
        <v>225</v>
      </c>
      <c r="I64" s="5" t="s">
        <v>202</v>
      </c>
      <c r="J64" s="5" t="s">
        <v>40</v>
      </c>
      <c r="K64" s="5" t="s">
        <v>21</v>
      </c>
      <c r="L64" s="5">
        <v>23</v>
      </c>
      <c r="M64" s="5" t="s">
        <v>29</v>
      </c>
      <c r="N64" s="7"/>
    </row>
    <row r="65" spans="2:14" x14ac:dyDescent="0.35">
      <c r="B65" s="5" t="s">
        <v>226</v>
      </c>
      <c r="C65" s="5" t="s">
        <v>227</v>
      </c>
      <c r="D65" s="5" t="s">
        <v>16</v>
      </c>
      <c r="E65" s="5">
        <v>7</v>
      </c>
      <c r="F65" s="6">
        <v>45318</v>
      </c>
      <c r="G65" s="5" t="s">
        <v>17</v>
      </c>
      <c r="H65" s="5" t="s">
        <v>228</v>
      </c>
      <c r="I65" s="5" t="s">
        <v>198</v>
      </c>
      <c r="J65" s="5" t="s">
        <v>28</v>
      </c>
      <c r="K65" s="5" t="s">
        <v>21</v>
      </c>
      <c r="L65" s="5">
        <v>37</v>
      </c>
      <c r="M65" s="5" t="s">
        <v>29</v>
      </c>
      <c r="N65" s="7"/>
    </row>
    <row r="66" spans="2:14" x14ac:dyDescent="0.35">
      <c r="B66" s="5" t="s">
        <v>229</v>
      </c>
      <c r="C66" s="5" t="s">
        <v>230</v>
      </c>
      <c r="D66" s="5" t="s">
        <v>54</v>
      </c>
      <c r="E66" s="5">
        <v>9</v>
      </c>
      <c r="F66" s="6">
        <v>45319</v>
      </c>
      <c r="G66" s="5" t="s">
        <v>17</v>
      </c>
      <c r="H66" s="5" t="s">
        <v>231</v>
      </c>
      <c r="I66" s="5" t="s">
        <v>79</v>
      </c>
      <c r="J66" s="5" t="s">
        <v>47</v>
      </c>
      <c r="K66" s="5" t="s">
        <v>21</v>
      </c>
      <c r="L66" s="5">
        <v>14</v>
      </c>
      <c r="M66" s="5" t="s">
        <v>51</v>
      </c>
      <c r="N66" s="7"/>
    </row>
    <row r="67" spans="2:14" x14ac:dyDescent="0.35">
      <c r="B67" s="5" t="s">
        <v>232</v>
      </c>
      <c r="C67" s="5" t="s">
        <v>233</v>
      </c>
      <c r="D67" s="5" t="s">
        <v>25</v>
      </c>
      <c r="E67" s="5">
        <v>5</v>
      </c>
      <c r="F67" s="6">
        <v>45319</v>
      </c>
      <c r="G67" s="5" t="s">
        <v>17</v>
      </c>
      <c r="H67" s="5" t="s">
        <v>234</v>
      </c>
      <c r="I67" s="5" t="s">
        <v>186</v>
      </c>
      <c r="J67" s="5" t="s">
        <v>47</v>
      </c>
      <c r="K67" s="5" t="s">
        <v>21</v>
      </c>
      <c r="L67" s="5">
        <v>31</v>
      </c>
      <c r="M67" s="5" t="s">
        <v>34</v>
      </c>
      <c r="N67" s="7"/>
    </row>
    <row r="68" spans="2:14" x14ac:dyDescent="0.35">
      <c r="B68" s="5" t="s">
        <v>235</v>
      </c>
      <c r="C68" s="5" t="s">
        <v>236</v>
      </c>
      <c r="D68" s="5" t="s">
        <v>37</v>
      </c>
      <c r="E68" s="5">
        <v>1</v>
      </c>
      <c r="F68" s="6">
        <v>45320</v>
      </c>
      <c r="G68" s="5" t="s">
        <v>55</v>
      </c>
      <c r="H68" s="5" t="s">
        <v>237</v>
      </c>
      <c r="I68" s="5" t="s">
        <v>198</v>
      </c>
      <c r="J68" s="5" t="s">
        <v>28</v>
      </c>
      <c r="K68" s="5" t="s">
        <v>21</v>
      </c>
      <c r="L68" s="5">
        <v>10</v>
      </c>
      <c r="M68" s="5" t="s">
        <v>34</v>
      </c>
      <c r="N68" s="7"/>
    </row>
    <row r="69" spans="2:14" x14ac:dyDescent="0.35">
      <c r="B69" s="5" t="s">
        <v>238</v>
      </c>
      <c r="C69" s="5" t="s">
        <v>239</v>
      </c>
      <c r="D69" s="5" t="s">
        <v>25</v>
      </c>
      <c r="E69" s="5">
        <v>3</v>
      </c>
      <c r="F69" s="6">
        <v>45320</v>
      </c>
      <c r="G69" s="5" t="s">
        <v>17</v>
      </c>
      <c r="H69" s="5" t="s">
        <v>240</v>
      </c>
      <c r="I69" s="5" t="s">
        <v>33</v>
      </c>
      <c r="J69" s="5" t="s">
        <v>20</v>
      </c>
      <c r="K69" s="5" t="s">
        <v>72</v>
      </c>
      <c r="L69" s="5">
        <v>45</v>
      </c>
      <c r="M69" s="5" t="s">
        <v>51</v>
      </c>
      <c r="N69" s="7"/>
    </row>
    <row r="70" spans="2:14" x14ac:dyDescent="0.35">
      <c r="B70" s="5" t="s">
        <v>241</v>
      </c>
      <c r="C70" s="5" t="s">
        <v>242</v>
      </c>
      <c r="D70" s="5" t="s">
        <v>25</v>
      </c>
      <c r="E70" s="5">
        <v>5</v>
      </c>
      <c r="F70" s="6">
        <v>45320</v>
      </c>
      <c r="G70" s="5" t="s">
        <v>17</v>
      </c>
      <c r="H70" s="5" t="s">
        <v>59</v>
      </c>
      <c r="I70" s="5" t="s">
        <v>60</v>
      </c>
      <c r="J70" s="5" t="s">
        <v>40</v>
      </c>
      <c r="K70" s="5" t="s">
        <v>21</v>
      </c>
      <c r="L70" s="5">
        <v>8</v>
      </c>
      <c r="M70" s="5" t="s">
        <v>34</v>
      </c>
      <c r="N70" s="7"/>
    </row>
    <row r="71" spans="2:14" x14ac:dyDescent="0.35">
      <c r="B71" s="5" t="s">
        <v>243</v>
      </c>
      <c r="C71" s="5" t="s">
        <v>244</v>
      </c>
      <c r="D71" s="5" t="s">
        <v>44</v>
      </c>
      <c r="E71" s="5">
        <v>8</v>
      </c>
      <c r="F71" s="6">
        <v>45320</v>
      </c>
      <c r="G71" s="5" t="s">
        <v>17</v>
      </c>
      <c r="H71" s="5" t="s">
        <v>245</v>
      </c>
      <c r="I71" s="5" t="s">
        <v>71</v>
      </c>
      <c r="J71" s="5" t="s">
        <v>40</v>
      </c>
      <c r="K71" s="5" t="s">
        <v>41</v>
      </c>
      <c r="L71" s="5">
        <v>35</v>
      </c>
      <c r="M71" s="5" t="s">
        <v>29</v>
      </c>
      <c r="N71" s="7"/>
    </row>
    <row r="72" spans="2:14" x14ac:dyDescent="0.35">
      <c r="B72" s="5" t="s">
        <v>246</v>
      </c>
      <c r="C72" s="5" t="s">
        <v>247</v>
      </c>
      <c r="D72" s="5" t="s">
        <v>54</v>
      </c>
      <c r="E72" s="5">
        <v>9</v>
      </c>
      <c r="F72" s="6">
        <v>45320</v>
      </c>
      <c r="G72" s="5" t="s">
        <v>55</v>
      </c>
      <c r="H72" s="5" t="s">
        <v>112</v>
      </c>
      <c r="I72" s="5" t="s">
        <v>33</v>
      </c>
      <c r="J72" s="5" t="s">
        <v>28</v>
      </c>
      <c r="K72" s="5" t="s">
        <v>21</v>
      </c>
      <c r="L72" s="5">
        <v>33</v>
      </c>
      <c r="M72" s="5" t="s">
        <v>29</v>
      </c>
      <c r="N72" s="7"/>
    </row>
    <row r="73" spans="2:14" x14ac:dyDescent="0.35">
      <c r="B73" s="5" t="s">
        <v>248</v>
      </c>
      <c r="C73" s="5" t="s">
        <v>249</v>
      </c>
      <c r="D73" s="5" t="s">
        <v>16</v>
      </c>
      <c r="E73" s="5">
        <v>8</v>
      </c>
      <c r="F73" s="6">
        <v>45321</v>
      </c>
      <c r="G73" s="5" t="s">
        <v>55</v>
      </c>
      <c r="H73" s="5" t="s">
        <v>197</v>
      </c>
      <c r="I73" s="5" t="s">
        <v>198</v>
      </c>
      <c r="J73" s="5" t="s">
        <v>28</v>
      </c>
      <c r="K73" s="5" t="s">
        <v>21</v>
      </c>
      <c r="L73" s="5">
        <v>8</v>
      </c>
      <c r="M73" s="5" t="s">
        <v>51</v>
      </c>
      <c r="N73" s="7"/>
    </row>
    <row r="74" spans="2:14" x14ac:dyDescent="0.35">
      <c r="B74" s="5" t="s">
        <v>250</v>
      </c>
      <c r="C74" s="5" t="s">
        <v>251</v>
      </c>
      <c r="D74" s="5" t="s">
        <v>25</v>
      </c>
      <c r="E74" s="5">
        <v>3</v>
      </c>
      <c r="F74" s="6">
        <v>45321</v>
      </c>
      <c r="G74" s="5" t="s">
        <v>17</v>
      </c>
      <c r="H74" s="5" t="s">
        <v>252</v>
      </c>
      <c r="I74" s="5" t="s">
        <v>253</v>
      </c>
      <c r="J74" s="5" t="s">
        <v>47</v>
      </c>
      <c r="K74" s="5" t="s">
        <v>21</v>
      </c>
      <c r="L74" s="5">
        <v>19</v>
      </c>
      <c r="M74" s="5" t="s">
        <v>51</v>
      </c>
      <c r="N74" s="7"/>
    </row>
    <row r="75" spans="2:14" x14ac:dyDescent="0.35">
      <c r="B75" s="5" t="s">
        <v>254</v>
      </c>
      <c r="C75" s="5" t="s">
        <v>255</v>
      </c>
      <c r="D75" s="5" t="s">
        <v>25</v>
      </c>
      <c r="E75" s="5">
        <v>3</v>
      </c>
      <c r="F75" s="6">
        <v>45322</v>
      </c>
      <c r="G75" s="5" t="s">
        <v>17</v>
      </c>
      <c r="H75" s="5" t="s">
        <v>252</v>
      </c>
      <c r="I75" s="5" t="s">
        <v>256</v>
      </c>
      <c r="J75" s="5" t="s">
        <v>47</v>
      </c>
      <c r="K75" s="5" t="s">
        <v>21</v>
      </c>
      <c r="L75" s="5">
        <v>23</v>
      </c>
      <c r="M75" s="5" t="s">
        <v>29</v>
      </c>
      <c r="N75" s="7"/>
    </row>
    <row r="76" spans="2:14" x14ac:dyDescent="0.35">
      <c r="B76" s="5" t="s">
        <v>257</v>
      </c>
      <c r="C76" s="5" t="s">
        <v>258</v>
      </c>
      <c r="D76" s="5" t="s">
        <v>25</v>
      </c>
      <c r="E76" s="5">
        <v>5</v>
      </c>
      <c r="F76" s="6">
        <v>45322</v>
      </c>
      <c r="G76" s="5" t="s">
        <v>118</v>
      </c>
      <c r="H76" s="5" t="s">
        <v>101</v>
      </c>
      <c r="I76" s="5" t="s">
        <v>102</v>
      </c>
      <c r="J76" s="5" t="s">
        <v>20</v>
      </c>
      <c r="K76" s="5" t="s">
        <v>41</v>
      </c>
      <c r="L76" s="5">
        <v>35</v>
      </c>
      <c r="M76" s="5" t="s">
        <v>29</v>
      </c>
      <c r="N76" s="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8"/>
  <sheetViews>
    <sheetView topLeftCell="A3" workbookViewId="0">
      <selection activeCell="D1" sqref="D1"/>
    </sheetView>
  </sheetViews>
  <sheetFormatPr defaultRowHeight="14" x14ac:dyDescent="0.3"/>
  <cols>
    <col min="1" max="1" width="13.1640625" customWidth="1"/>
    <col min="2" max="2" width="9.33203125" bestFit="1" customWidth="1"/>
    <col min="3" max="3" width="24.9140625" bestFit="1" customWidth="1"/>
    <col min="4" max="4" width="27.9140625" customWidth="1"/>
  </cols>
  <sheetData>
    <row r="1" spans="1:3" x14ac:dyDescent="0.3">
      <c r="A1" s="8" t="s">
        <v>13</v>
      </c>
      <c r="B1" t="s">
        <v>259</v>
      </c>
    </row>
    <row r="3" spans="1:3" x14ac:dyDescent="0.3">
      <c r="A3" s="8" t="s">
        <v>4</v>
      </c>
      <c r="B3" s="8" t="s">
        <v>10</v>
      </c>
      <c r="C3" t="s">
        <v>260</v>
      </c>
    </row>
    <row r="4" spans="1:3" x14ac:dyDescent="0.3">
      <c r="A4" t="s">
        <v>25</v>
      </c>
      <c r="B4" t="s">
        <v>28</v>
      </c>
      <c r="C4" s="9">
        <v>322</v>
      </c>
    </row>
    <row r="5" spans="1:3" x14ac:dyDescent="0.3">
      <c r="B5" t="s">
        <v>20</v>
      </c>
      <c r="C5" s="9">
        <v>235</v>
      </c>
    </row>
    <row r="6" spans="1:3" x14ac:dyDescent="0.3">
      <c r="B6" t="s">
        <v>40</v>
      </c>
      <c r="C6" s="9">
        <v>31</v>
      </c>
    </row>
    <row r="7" spans="1:3" x14ac:dyDescent="0.3">
      <c r="B7" t="s">
        <v>47</v>
      </c>
      <c r="C7" s="9">
        <v>215</v>
      </c>
    </row>
    <row r="8" spans="1:3" x14ac:dyDescent="0.3">
      <c r="A8" t="s">
        <v>261</v>
      </c>
      <c r="C8" s="9">
        <v>803</v>
      </c>
    </row>
    <row r="9" spans="1:3" x14ac:dyDescent="0.3">
      <c r="A9" t="s">
        <v>16</v>
      </c>
      <c r="B9" t="s">
        <v>28</v>
      </c>
      <c r="C9" s="9">
        <v>54</v>
      </c>
    </row>
    <row r="10" spans="1:3" x14ac:dyDescent="0.3">
      <c r="B10" t="s">
        <v>20</v>
      </c>
      <c r="C10" s="9">
        <v>85</v>
      </c>
    </row>
    <row r="11" spans="1:3" x14ac:dyDescent="0.3">
      <c r="B11" t="s">
        <v>40</v>
      </c>
      <c r="C11" s="9">
        <v>39</v>
      </c>
    </row>
    <row r="12" spans="1:3" x14ac:dyDescent="0.3">
      <c r="B12" t="s">
        <v>47</v>
      </c>
      <c r="C12" s="9">
        <v>6</v>
      </c>
    </row>
    <row r="13" spans="1:3" x14ac:dyDescent="0.3">
      <c r="A13" t="s">
        <v>282</v>
      </c>
      <c r="C13" s="9">
        <v>184</v>
      </c>
    </row>
    <row r="14" spans="1:3" x14ac:dyDescent="0.3">
      <c r="A14" t="s">
        <v>44</v>
      </c>
      <c r="B14" t="s">
        <v>28</v>
      </c>
      <c r="C14" s="9">
        <v>26</v>
      </c>
    </row>
    <row r="15" spans="1:3" x14ac:dyDescent="0.3">
      <c r="B15" t="s">
        <v>20</v>
      </c>
      <c r="C15" s="9">
        <v>80</v>
      </c>
    </row>
    <row r="16" spans="1:3" x14ac:dyDescent="0.3">
      <c r="B16" t="s">
        <v>40</v>
      </c>
      <c r="C16" s="9">
        <v>93</v>
      </c>
    </row>
    <row r="17" spans="1:3" x14ac:dyDescent="0.3">
      <c r="B17" t="s">
        <v>47</v>
      </c>
      <c r="C17" s="9">
        <v>46</v>
      </c>
    </row>
    <row r="18" spans="1:3" x14ac:dyDescent="0.3">
      <c r="A18" t="s">
        <v>283</v>
      </c>
      <c r="C18" s="9">
        <v>245</v>
      </c>
    </row>
    <row r="19" spans="1:3" x14ac:dyDescent="0.3">
      <c r="A19" t="s">
        <v>37</v>
      </c>
      <c r="B19" t="s">
        <v>28</v>
      </c>
      <c r="C19" s="9">
        <v>70</v>
      </c>
    </row>
    <row r="20" spans="1:3" x14ac:dyDescent="0.3">
      <c r="B20" t="s">
        <v>20</v>
      </c>
      <c r="C20" s="9">
        <v>233</v>
      </c>
    </row>
    <row r="21" spans="1:3" x14ac:dyDescent="0.3">
      <c r="B21" t="s">
        <v>40</v>
      </c>
      <c r="C21" s="9">
        <v>60</v>
      </c>
    </row>
    <row r="22" spans="1:3" x14ac:dyDescent="0.3">
      <c r="B22" t="s">
        <v>47</v>
      </c>
      <c r="C22" s="9">
        <v>74</v>
      </c>
    </row>
    <row r="23" spans="1:3" x14ac:dyDescent="0.3">
      <c r="A23" t="s">
        <v>284</v>
      </c>
      <c r="C23" s="9">
        <v>437</v>
      </c>
    </row>
    <row r="24" spans="1:3" x14ac:dyDescent="0.3">
      <c r="A24" t="s">
        <v>54</v>
      </c>
      <c r="B24" t="s">
        <v>28</v>
      </c>
      <c r="C24" s="9">
        <v>85</v>
      </c>
    </row>
    <row r="25" spans="1:3" x14ac:dyDescent="0.3">
      <c r="B25" t="s">
        <v>20</v>
      </c>
      <c r="C25" s="9">
        <v>8</v>
      </c>
    </row>
    <row r="26" spans="1:3" x14ac:dyDescent="0.3">
      <c r="B26" t="s">
        <v>47</v>
      </c>
      <c r="C26" s="9">
        <v>76</v>
      </c>
    </row>
    <row r="27" spans="1:3" x14ac:dyDescent="0.3">
      <c r="A27" t="s">
        <v>285</v>
      </c>
      <c r="C27" s="9">
        <v>169</v>
      </c>
    </row>
    <row r="28" spans="1:3" x14ac:dyDescent="0.3">
      <c r="A28" t="s">
        <v>262</v>
      </c>
      <c r="C28" s="9">
        <v>1838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1"/>
  <sheetViews>
    <sheetView workbookViewId="0">
      <selection activeCell="C3" sqref="C3"/>
    </sheetView>
  </sheetViews>
  <sheetFormatPr defaultRowHeight="14" x14ac:dyDescent="0.3"/>
  <cols>
    <col min="1" max="1" width="11.4140625" customWidth="1"/>
    <col min="2" max="2" width="12.25" customWidth="1"/>
    <col min="3" max="3" width="24.9140625" bestFit="1" customWidth="1"/>
    <col min="4" max="4" width="17.58203125" customWidth="1"/>
    <col min="5" max="10" width="8.83203125" bestFit="1" customWidth="1"/>
    <col min="11" max="32" width="10" bestFit="1" customWidth="1"/>
    <col min="33" max="33" width="11.1640625" bestFit="1" customWidth="1"/>
    <col min="34" max="34" width="13.4140625" bestFit="1" customWidth="1"/>
    <col min="35" max="35" width="16.4140625" bestFit="1" customWidth="1"/>
    <col min="36" max="36" width="15.58203125" bestFit="1" customWidth="1"/>
    <col min="37" max="37" width="13.75" bestFit="1" customWidth="1"/>
    <col min="38" max="38" width="12.1640625" bestFit="1" customWidth="1"/>
    <col min="39" max="39" width="10.75" bestFit="1" customWidth="1"/>
    <col min="40" max="41" width="12.75" bestFit="1" customWidth="1"/>
    <col min="42" max="42" width="16.4140625" bestFit="1" customWidth="1"/>
    <col min="43" max="43" width="14" bestFit="1" customWidth="1"/>
    <col min="44" max="44" width="12.58203125" bestFit="1" customWidth="1"/>
    <col min="45" max="45" width="15.75" bestFit="1" customWidth="1"/>
    <col min="46" max="46" width="13.83203125" bestFit="1" customWidth="1"/>
    <col min="47" max="47" width="16.1640625" bestFit="1" customWidth="1"/>
    <col min="48" max="48" width="12.1640625" bestFit="1" customWidth="1"/>
    <col min="49" max="49" width="17.1640625" bestFit="1" customWidth="1"/>
    <col min="50" max="50" width="14.1640625" bestFit="1" customWidth="1"/>
    <col min="51" max="51" width="15.25" bestFit="1" customWidth="1"/>
    <col min="52" max="52" width="13.25" bestFit="1" customWidth="1"/>
    <col min="53" max="53" width="16.25" bestFit="1" customWidth="1"/>
    <col min="54" max="54" width="13.4140625" bestFit="1" customWidth="1"/>
    <col min="55" max="55" width="11.83203125" bestFit="1" customWidth="1"/>
    <col min="56" max="56" width="17.1640625" bestFit="1" customWidth="1"/>
    <col min="57" max="57" width="11" bestFit="1" customWidth="1"/>
    <col min="58" max="58" width="19.4140625" bestFit="1" customWidth="1"/>
    <col min="59" max="59" width="13.25" bestFit="1" customWidth="1"/>
    <col min="60" max="60" width="16.75" bestFit="1" customWidth="1"/>
    <col min="61" max="61" width="13.83203125" bestFit="1" customWidth="1"/>
    <col min="62" max="62" width="18.83203125" bestFit="1" customWidth="1"/>
    <col min="63" max="63" width="16.25" bestFit="1" customWidth="1"/>
    <col min="64" max="64" width="13" bestFit="1" customWidth="1"/>
    <col min="65" max="65" width="14.75" bestFit="1" customWidth="1"/>
    <col min="66" max="66" width="11.75" bestFit="1" customWidth="1"/>
    <col min="67" max="67" width="8.58203125" bestFit="1" customWidth="1"/>
    <col min="68" max="68" width="18" bestFit="1" customWidth="1"/>
    <col min="69" max="69" width="12.83203125" bestFit="1" customWidth="1"/>
    <col min="70" max="70" width="14.4140625" bestFit="1" customWidth="1"/>
    <col min="71" max="71" width="10.83203125" bestFit="1" customWidth="1"/>
    <col min="72" max="72" width="11.1640625" bestFit="1" customWidth="1"/>
  </cols>
  <sheetData>
    <row r="3" spans="1:3" x14ac:dyDescent="0.3">
      <c r="A3" s="8" t="s">
        <v>10</v>
      </c>
      <c r="B3" s="8" t="s">
        <v>13</v>
      </c>
      <c r="C3" t="s">
        <v>260</v>
      </c>
    </row>
    <row r="4" spans="1:3" x14ac:dyDescent="0.3">
      <c r="A4" t="s">
        <v>28</v>
      </c>
      <c r="B4" t="s">
        <v>51</v>
      </c>
      <c r="C4" s="9">
        <v>191</v>
      </c>
    </row>
    <row r="5" spans="1:3" x14ac:dyDescent="0.3">
      <c r="B5" t="s">
        <v>22</v>
      </c>
      <c r="C5" s="9">
        <v>34</v>
      </c>
    </row>
    <row r="6" spans="1:3" x14ac:dyDescent="0.3">
      <c r="B6" t="s">
        <v>34</v>
      </c>
      <c r="C6" s="9">
        <v>92</v>
      </c>
    </row>
    <row r="7" spans="1:3" x14ac:dyDescent="0.3">
      <c r="B7" t="s">
        <v>29</v>
      </c>
      <c r="C7" s="9">
        <v>240</v>
      </c>
    </row>
    <row r="8" spans="1:3" x14ac:dyDescent="0.3">
      <c r="A8" t="s">
        <v>277</v>
      </c>
      <c r="C8" s="9">
        <v>557</v>
      </c>
    </row>
    <row r="9" spans="1:3" x14ac:dyDescent="0.3">
      <c r="A9" t="s">
        <v>20</v>
      </c>
      <c r="B9" t="s">
        <v>51</v>
      </c>
      <c r="C9" s="9">
        <v>353</v>
      </c>
    </row>
    <row r="10" spans="1:3" x14ac:dyDescent="0.3">
      <c r="B10" t="s">
        <v>22</v>
      </c>
      <c r="C10" s="9">
        <v>161</v>
      </c>
    </row>
    <row r="11" spans="1:3" x14ac:dyDescent="0.3">
      <c r="B11" t="s">
        <v>34</v>
      </c>
      <c r="C11" s="9">
        <v>6</v>
      </c>
    </row>
    <row r="12" spans="1:3" x14ac:dyDescent="0.3">
      <c r="B12" t="s">
        <v>29</v>
      </c>
      <c r="C12" s="9">
        <v>121</v>
      </c>
    </row>
    <row r="13" spans="1:3" x14ac:dyDescent="0.3">
      <c r="A13" t="s">
        <v>263</v>
      </c>
      <c r="C13" s="9">
        <v>641</v>
      </c>
    </row>
    <row r="14" spans="1:3" x14ac:dyDescent="0.3">
      <c r="A14" t="s">
        <v>40</v>
      </c>
      <c r="B14" t="s">
        <v>34</v>
      </c>
      <c r="C14" s="9">
        <v>8</v>
      </c>
    </row>
    <row r="15" spans="1:3" x14ac:dyDescent="0.3">
      <c r="B15" t="s">
        <v>29</v>
      </c>
      <c r="C15" s="9">
        <v>215</v>
      </c>
    </row>
    <row r="16" spans="1:3" x14ac:dyDescent="0.3">
      <c r="A16" t="s">
        <v>264</v>
      </c>
      <c r="C16" s="9">
        <v>223</v>
      </c>
    </row>
    <row r="17" spans="1:3" x14ac:dyDescent="0.3">
      <c r="A17" t="s">
        <v>47</v>
      </c>
      <c r="B17" t="s">
        <v>51</v>
      </c>
      <c r="C17" s="9">
        <v>103</v>
      </c>
    </row>
    <row r="18" spans="1:3" x14ac:dyDescent="0.3">
      <c r="B18" t="s">
        <v>34</v>
      </c>
      <c r="C18" s="9">
        <v>31</v>
      </c>
    </row>
    <row r="19" spans="1:3" x14ac:dyDescent="0.3">
      <c r="B19" t="s">
        <v>29</v>
      </c>
      <c r="C19" s="9">
        <v>283</v>
      </c>
    </row>
    <row r="20" spans="1:3" x14ac:dyDescent="0.3">
      <c r="A20" t="s">
        <v>265</v>
      </c>
      <c r="C20" s="9">
        <v>417</v>
      </c>
    </row>
    <row r="21" spans="1:3" x14ac:dyDescent="0.3">
      <c r="A21" t="s">
        <v>262</v>
      </c>
      <c r="C21" s="9">
        <v>1838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8"/>
  <sheetViews>
    <sheetView workbookViewId="0">
      <selection activeCell="C3" sqref="C3"/>
    </sheetView>
  </sheetViews>
  <sheetFormatPr defaultRowHeight="14" x14ac:dyDescent="0.3"/>
  <cols>
    <col min="1" max="1" width="14.1640625" customWidth="1"/>
    <col min="2" max="2" width="14.5" bestFit="1" customWidth="1"/>
    <col min="3" max="3" width="24.9140625" bestFit="1" customWidth="1"/>
    <col min="4" max="4" width="27.9140625" customWidth="1"/>
    <col min="5" max="5" width="11.1640625" bestFit="1" customWidth="1"/>
  </cols>
  <sheetData>
    <row r="3" spans="1:3" x14ac:dyDescent="0.3">
      <c r="A3" s="8" t="s">
        <v>13</v>
      </c>
      <c r="B3" s="8" t="s">
        <v>11</v>
      </c>
      <c r="C3" t="s">
        <v>260</v>
      </c>
    </row>
    <row r="4" spans="1:3" x14ac:dyDescent="0.3">
      <c r="A4" t="s">
        <v>51</v>
      </c>
      <c r="B4" t="s">
        <v>72</v>
      </c>
      <c r="C4" s="9">
        <v>172</v>
      </c>
    </row>
    <row r="5" spans="1:3" x14ac:dyDescent="0.3">
      <c r="B5" t="s">
        <v>41</v>
      </c>
      <c r="C5" s="9">
        <v>35</v>
      </c>
    </row>
    <row r="6" spans="1:3" x14ac:dyDescent="0.3">
      <c r="B6" t="s">
        <v>21</v>
      </c>
      <c r="C6" s="9">
        <v>440</v>
      </c>
    </row>
    <row r="7" spans="1:3" x14ac:dyDescent="0.3">
      <c r="A7" t="s">
        <v>278</v>
      </c>
      <c r="C7" s="9">
        <v>647</v>
      </c>
    </row>
    <row r="8" spans="1:3" x14ac:dyDescent="0.3">
      <c r="A8" t="s">
        <v>22</v>
      </c>
      <c r="B8" t="s">
        <v>72</v>
      </c>
      <c r="C8" s="9">
        <v>71</v>
      </c>
    </row>
    <row r="9" spans="1:3" x14ac:dyDescent="0.3">
      <c r="B9" t="s">
        <v>41</v>
      </c>
      <c r="C9" s="9">
        <v>25</v>
      </c>
    </row>
    <row r="10" spans="1:3" x14ac:dyDescent="0.3">
      <c r="B10" t="s">
        <v>21</v>
      </c>
      <c r="C10" s="9">
        <v>99</v>
      </c>
    </row>
    <row r="11" spans="1:3" x14ac:dyDescent="0.3">
      <c r="A11" t="s">
        <v>279</v>
      </c>
      <c r="C11" s="9">
        <v>195</v>
      </c>
    </row>
    <row r="12" spans="1:3" x14ac:dyDescent="0.3">
      <c r="A12" t="s">
        <v>34</v>
      </c>
      <c r="B12" t="s">
        <v>72</v>
      </c>
      <c r="C12" s="9">
        <v>44</v>
      </c>
    </row>
    <row r="13" spans="1:3" x14ac:dyDescent="0.3">
      <c r="B13" t="s">
        <v>21</v>
      </c>
      <c r="C13" s="9">
        <v>93</v>
      </c>
    </row>
    <row r="14" spans="1:3" x14ac:dyDescent="0.3">
      <c r="A14" t="s">
        <v>266</v>
      </c>
      <c r="C14" s="9">
        <v>137</v>
      </c>
    </row>
    <row r="15" spans="1:3" x14ac:dyDescent="0.3">
      <c r="A15" t="s">
        <v>29</v>
      </c>
      <c r="B15" t="s">
        <v>41</v>
      </c>
      <c r="C15" s="9">
        <v>226</v>
      </c>
    </row>
    <row r="16" spans="1:3" x14ac:dyDescent="0.3">
      <c r="B16" t="s">
        <v>21</v>
      </c>
      <c r="C16" s="9">
        <v>633</v>
      </c>
    </row>
    <row r="17" spans="1:3" x14ac:dyDescent="0.3">
      <c r="A17" t="s">
        <v>267</v>
      </c>
      <c r="C17" s="9">
        <v>859</v>
      </c>
    </row>
    <row r="18" spans="1:3" x14ac:dyDescent="0.3">
      <c r="A18" t="s">
        <v>262</v>
      </c>
      <c r="C18" s="9">
        <v>1838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0"/>
  <sheetViews>
    <sheetView tabSelected="1" topLeftCell="B1" workbookViewId="0">
      <selection activeCell="C3" sqref="C3"/>
    </sheetView>
  </sheetViews>
  <sheetFormatPr defaultRowHeight="14" x14ac:dyDescent="0.3"/>
  <cols>
    <col min="1" max="1" width="14.25" customWidth="1"/>
    <col min="2" max="2" width="13.75" bestFit="1" customWidth="1"/>
    <col min="3" max="3" width="18.83203125" customWidth="1"/>
    <col min="4" max="4" width="9" customWidth="1"/>
    <col min="5" max="5" width="9.58203125" bestFit="1" customWidth="1"/>
    <col min="6" max="6" width="9" bestFit="1" customWidth="1"/>
    <col min="7" max="7" width="18.58203125" bestFit="1" customWidth="1"/>
    <col min="8" max="8" width="7" bestFit="1" customWidth="1"/>
    <col min="9" max="9" width="7.75" bestFit="1" customWidth="1"/>
    <col min="10" max="11" width="6.83203125" bestFit="1" customWidth="1"/>
    <col min="12" max="12" width="7.58203125" bestFit="1" customWidth="1"/>
    <col min="13" max="13" width="5" bestFit="1" customWidth="1"/>
    <col min="14" max="14" width="7.25" bestFit="1" customWidth="1"/>
    <col min="15" max="15" width="9.4140625" bestFit="1" customWidth="1"/>
    <col min="16" max="16" width="8.83203125" bestFit="1" customWidth="1"/>
    <col min="17" max="17" width="10.1640625" bestFit="1" customWidth="1"/>
    <col min="18" max="18" width="8.4140625" bestFit="1" customWidth="1"/>
    <col min="19" max="19" width="7.58203125" bestFit="1" customWidth="1"/>
    <col min="20" max="20" width="9.1640625" bestFit="1" customWidth="1"/>
    <col min="21" max="21" width="5" bestFit="1" customWidth="1"/>
    <col min="22" max="22" width="12.58203125" bestFit="1" customWidth="1"/>
    <col min="23" max="23" width="12.4140625" bestFit="1" customWidth="1"/>
    <col min="24" max="24" width="14" bestFit="1" customWidth="1"/>
    <col min="25" max="25" width="10.4140625" bestFit="1" customWidth="1"/>
    <col min="26" max="26" width="5.83203125" bestFit="1" customWidth="1"/>
    <col min="27" max="27" width="5" bestFit="1" customWidth="1"/>
    <col min="28" max="28" width="7.58203125" bestFit="1" customWidth="1"/>
    <col min="29" max="29" width="12.4140625" bestFit="1" customWidth="1"/>
    <col min="30" max="30" width="10.1640625" bestFit="1" customWidth="1"/>
    <col min="31" max="31" width="11.1640625" bestFit="1" customWidth="1"/>
    <col min="32" max="32" width="19.75" bestFit="1" customWidth="1"/>
    <col min="33" max="33" width="22.75" bestFit="1" customWidth="1"/>
    <col min="34" max="34" width="12.58203125" bestFit="1" customWidth="1"/>
    <col min="35" max="35" width="15.58203125" bestFit="1" customWidth="1"/>
    <col min="36" max="36" width="17.4140625" bestFit="1" customWidth="1"/>
    <col min="37" max="37" width="20.4140625" bestFit="1" customWidth="1"/>
    <col min="38" max="38" width="15.4140625" bestFit="1" customWidth="1"/>
    <col min="39" max="39" width="18.4140625" bestFit="1" customWidth="1"/>
    <col min="40" max="40" width="15.75" bestFit="1" customWidth="1"/>
    <col min="41" max="41" width="18.58203125" bestFit="1" customWidth="1"/>
    <col min="42" max="42" width="14.1640625" bestFit="1" customWidth="1"/>
    <col min="43" max="43" width="17" bestFit="1" customWidth="1"/>
    <col min="44" max="44" width="17.75" bestFit="1" customWidth="1"/>
    <col min="45" max="45" width="20.75" bestFit="1" customWidth="1"/>
    <col min="46" max="46" width="14.25" bestFit="1" customWidth="1"/>
    <col min="47" max="47" width="17.25" bestFit="1" customWidth="1"/>
    <col min="48" max="48" width="20.83203125" bestFit="1" customWidth="1"/>
    <col min="49" max="49" width="23.75" bestFit="1" customWidth="1"/>
    <col min="50" max="50" width="18.58203125" bestFit="1" customWidth="1"/>
    <col min="51" max="51" width="14.83203125" bestFit="1" customWidth="1"/>
    <col min="52" max="52" width="22.4140625" bestFit="1" customWidth="1"/>
    <col min="53" max="53" width="25.25" bestFit="1" customWidth="1"/>
    <col min="54" max="54" width="14.75" bestFit="1" customWidth="1"/>
    <col min="55" max="55" width="17.75" bestFit="1" customWidth="1"/>
    <col min="56" max="56" width="18.4140625" bestFit="1" customWidth="1"/>
    <col min="57" max="58" width="21.4140625" bestFit="1" customWidth="1"/>
    <col min="59" max="59" width="24.4140625" bestFit="1" customWidth="1"/>
    <col min="60" max="60" width="16.75" bestFit="1" customWidth="1"/>
    <col min="61" max="61" width="19.58203125" bestFit="1" customWidth="1"/>
    <col min="62" max="62" width="17" bestFit="1" customWidth="1"/>
    <col min="63" max="63" width="19.83203125" bestFit="1" customWidth="1"/>
    <col min="64" max="64" width="14.25" bestFit="1" customWidth="1"/>
    <col min="65" max="65" width="17.1640625" bestFit="1" customWidth="1"/>
    <col min="66" max="66" width="15.25" bestFit="1" customWidth="1"/>
    <col min="67" max="67" width="18.1640625" bestFit="1" customWidth="1"/>
    <col min="68" max="68" width="18.25" bestFit="1" customWidth="1"/>
    <col min="69" max="69" width="21.25" bestFit="1" customWidth="1"/>
    <col min="70" max="70" width="17.4140625" bestFit="1" customWidth="1"/>
    <col min="71" max="71" width="20.25" bestFit="1" customWidth="1"/>
    <col min="72" max="72" width="15.58203125" bestFit="1" customWidth="1"/>
    <col min="73" max="73" width="18.4140625" bestFit="1" customWidth="1"/>
    <col min="74" max="74" width="14" bestFit="1" customWidth="1"/>
    <col min="75" max="75" width="17" bestFit="1" customWidth="1"/>
    <col min="76" max="76" width="12.58203125" bestFit="1" customWidth="1"/>
    <col min="77" max="77" width="15.4140625" bestFit="1" customWidth="1"/>
    <col min="78" max="78" width="14.58203125" bestFit="1" customWidth="1"/>
    <col min="79" max="79" width="17.58203125" bestFit="1" customWidth="1"/>
    <col min="80" max="80" width="14.58203125" bestFit="1" customWidth="1"/>
    <col min="81" max="81" width="17.58203125" bestFit="1" customWidth="1"/>
    <col min="82" max="82" width="18.25" bestFit="1" customWidth="1"/>
    <col min="83" max="83" width="21.25" bestFit="1" customWidth="1"/>
    <col min="84" max="84" width="15.83203125" bestFit="1" customWidth="1"/>
    <col min="85" max="85" width="18.75" bestFit="1" customWidth="1"/>
    <col min="86" max="86" width="14.4140625" bestFit="1" customWidth="1"/>
    <col min="87" max="87" width="17.4140625" bestFit="1" customWidth="1"/>
    <col min="88" max="88" width="17.58203125" bestFit="1" customWidth="1"/>
    <col min="89" max="89" width="20.58203125" bestFit="1" customWidth="1"/>
    <col min="90" max="90" width="15.75" bestFit="1" customWidth="1"/>
    <col min="91" max="91" width="18.75" bestFit="1" customWidth="1"/>
    <col min="92" max="92" width="18" bestFit="1" customWidth="1"/>
    <col min="93" max="93" width="20.83203125" bestFit="1" customWidth="1"/>
    <col min="94" max="94" width="14" bestFit="1" customWidth="1"/>
    <col min="95" max="95" width="17" bestFit="1" customWidth="1"/>
    <col min="96" max="96" width="19" bestFit="1" customWidth="1"/>
    <col min="97" max="97" width="21.83203125" bestFit="1" customWidth="1"/>
    <col min="98" max="98" width="16" bestFit="1" customWidth="1"/>
    <col min="99" max="99" width="19" bestFit="1" customWidth="1"/>
    <col min="100" max="100" width="17.1640625" bestFit="1" customWidth="1"/>
    <col min="101" max="101" width="20.1640625" bestFit="1" customWidth="1"/>
    <col min="102" max="102" width="15.1640625" bestFit="1" customWidth="1"/>
    <col min="103" max="103" width="18" bestFit="1" customWidth="1"/>
    <col min="104" max="104" width="18.1640625" bestFit="1" customWidth="1"/>
    <col min="105" max="105" width="21.1640625" bestFit="1" customWidth="1"/>
    <col min="106" max="106" width="15.25" bestFit="1" customWidth="1"/>
    <col min="107" max="107" width="18.25" bestFit="1" customWidth="1"/>
    <col min="108" max="108" width="13.75" bestFit="1" customWidth="1"/>
    <col min="109" max="109" width="16.75" bestFit="1" customWidth="1"/>
    <col min="110" max="110" width="19" bestFit="1" customWidth="1"/>
    <col min="111" max="111" width="22" bestFit="1" customWidth="1"/>
    <col min="112" max="112" width="12.83203125" bestFit="1" customWidth="1"/>
    <col min="113" max="113" width="15.75" bestFit="1" customWidth="1"/>
    <col min="114" max="114" width="21.25" bestFit="1" customWidth="1"/>
    <col min="115" max="115" width="24.25" bestFit="1" customWidth="1"/>
    <col min="116" max="116" width="15.1640625" bestFit="1" customWidth="1"/>
    <col min="117" max="117" width="18.1640625" bestFit="1" customWidth="1"/>
    <col min="118" max="118" width="18.58203125" bestFit="1" customWidth="1"/>
    <col min="119" max="119" width="21.58203125" bestFit="1" customWidth="1"/>
    <col min="120" max="120" width="15.75" bestFit="1" customWidth="1"/>
    <col min="121" max="121" width="18.75" bestFit="1" customWidth="1"/>
    <col min="122" max="122" width="20.75" bestFit="1" customWidth="1"/>
    <col min="123" max="123" width="23.75" bestFit="1" customWidth="1"/>
    <col min="124" max="124" width="18.1640625" bestFit="1" customWidth="1"/>
    <col min="125" max="125" width="21" bestFit="1" customWidth="1"/>
    <col min="126" max="126" width="14.83203125" bestFit="1" customWidth="1"/>
    <col min="127" max="127" width="17.83203125" bestFit="1" customWidth="1"/>
    <col min="128" max="128" width="16.58203125" bestFit="1" customWidth="1"/>
    <col min="129" max="129" width="19.58203125" bestFit="1" customWidth="1"/>
    <col min="130" max="130" width="13.58203125" bestFit="1" customWidth="1"/>
    <col min="131" max="131" width="16.58203125" bestFit="1" customWidth="1"/>
    <col min="132" max="132" width="10.4140625" bestFit="1" customWidth="1"/>
    <col min="133" max="133" width="13.25" bestFit="1" customWidth="1"/>
    <col min="134" max="134" width="19.83203125" bestFit="1" customWidth="1"/>
    <col min="135" max="135" width="22.83203125" bestFit="1" customWidth="1"/>
    <col min="136" max="136" width="14.75" bestFit="1" customWidth="1"/>
    <col min="137" max="137" width="17.75" bestFit="1" customWidth="1"/>
    <col min="138" max="138" width="16.25" bestFit="1" customWidth="1"/>
    <col min="139" max="139" width="19.1640625" bestFit="1" customWidth="1"/>
    <col min="140" max="140" width="12.75" bestFit="1" customWidth="1"/>
    <col min="141" max="141" width="15.58203125" bestFit="1" customWidth="1"/>
    <col min="142" max="142" width="11.1640625" bestFit="1" customWidth="1"/>
  </cols>
  <sheetData>
    <row r="3" spans="1:3" x14ac:dyDescent="0.3">
      <c r="A3" s="8" t="s">
        <v>7</v>
      </c>
      <c r="B3" s="8" t="s">
        <v>8</v>
      </c>
      <c r="C3" t="s">
        <v>268</v>
      </c>
    </row>
    <row r="4" spans="1:3" x14ac:dyDescent="0.3">
      <c r="A4" t="s">
        <v>17</v>
      </c>
      <c r="B4" t="s">
        <v>45</v>
      </c>
      <c r="C4" s="9">
        <v>8</v>
      </c>
    </row>
    <row r="5" spans="1:3" x14ac:dyDescent="0.3">
      <c r="B5" t="s">
        <v>163</v>
      </c>
      <c r="C5" s="9">
        <v>9</v>
      </c>
    </row>
    <row r="6" spans="1:3" x14ac:dyDescent="0.3">
      <c r="B6" t="s">
        <v>194</v>
      </c>
      <c r="C6" s="9">
        <v>9</v>
      </c>
    </row>
    <row r="7" spans="1:3" x14ac:dyDescent="0.3">
      <c r="B7" t="s">
        <v>228</v>
      </c>
      <c r="C7" s="9">
        <v>7</v>
      </c>
    </row>
    <row r="8" spans="1:3" x14ac:dyDescent="0.3">
      <c r="B8" t="s">
        <v>169</v>
      </c>
      <c r="C8" s="9">
        <v>7</v>
      </c>
    </row>
    <row r="9" spans="1:3" x14ac:dyDescent="0.3">
      <c r="B9" t="s">
        <v>101</v>
      </c>
      <c r="C9" s="9">
        <v>7</v>
      </c>
    </row>
    <row r="10" spans="1:3" x14ac:dyDescent="0.3">
      <c r="B10" t="s">
        <v>93</v>
      </c>
      <c r="C10" s="9">
        <v>9</v>
      </c>
    </row>
    <row r="11" spans="1:3" x14ac:dyDescent="0.3">
      <c r="B11" t="s">
        <v>75</v>
      </c>
      <c r="C11" s="9">
        <v>7</v>
      </c>
    </row>
    <row r="12" spans="1:3" x14ac:dyDescent="0.3">
      <c r="B12" t="s">
        <v>231</v>
      </c>
      <c r="C12" s="9">
        <v>9</v>
      </c>
    </row>
    <row r="13" spans="1:3" x14ac:dyDescent="0.3">
      <c r="B13" t="s">
        <v>140</v>
      </c>
      <c r="C13" s="9">
        <v>7</v>
      </c>
    </row>
    <row r="14" spans="1:3" x14ac:dyDescent="0.3">
      <c r="B14" t="s">
        <v>133</v>
      </c>
      <c r="C14" s="9">
        <v>8</v>
      </c>
    </row>
    <row r="15" spans="1:3" x14ac:dyDescent="0.3">
      <c r="B15" t="s">
        <v>143</v>
      </c>
      <c r="C15" s="9">
        <v>10</v>
      </c>
    </row>
    <row r="16" spans="1:3" x14ac:dyDescent="0.3">
      <c r="B16" t="s">
        <v>245</v>
      </c>
      <c r="C16" s="9">
        <v>8</v>
      </c>
    </row>
    <row r="17" spans="1:3" x14ac:dyDescent="0.3">
      <c r="B17" t="s">
        <v>214</v>
      </c>
      <c r="C17" s="9">
        <v>7</v>
      </c>
    </row>
    <row r="18" spans="1:3" x14ac:dyDescent="0.3">
      <c r="B18" t="s">
        <v>130</v>
      </c>
      <c r="C18" s="9">
        <v>10</v>
      </c>
    </row>
    <row r="19" spans="1:3" x14ac:dyDescent="0.3">
      <c r="A19" t="s">
        <v>269</v>
      </c>
      <c r="C19" s="9">
        <v>8.1333333333333329</v>
      </c>
    </row>
    <row r="20" spans="1:3" x14ac:dyDescent="0.3">
      <c r="A20" t="s">
        <v>55</v>
      </c>
      <c r="B20" t="s">
        <v>97</v>
      </c>
      <c r="C20" s="9">
        <v>4</v>
      </c>
    </row>
    <row r="21" spans="1:3" x14ac:dyDescent="0.3">
      <c r="B21" t="s">
        <v>90</v>
      </c>
      <c r="C21" s="9">
        <v>9</v>
      </c>
    </row>
    <row r="22" spans="1:3" x14ac:dyDescent="0.3">
      <c r="B22" t="s">
        <v>149</v>
      </c>
      <c r="C22" s="9">
        <v>5</v>
      </c>
    </row>
    <row r="23" spans="1:3" x14ac:dyDescent="0.3">
      <c r="B23" t="s">
        <v>173</v>
      </c>
      <c r="C23" s="9">
        <v>4</v>
      </c>
    </row>
    <row r="24" spans="1:3" x14ac:dyDescent="0.3">
      <c r="B24" t="s">
        <v>56</v>
      </c>
      <c r="C24" s="9">
        <v>10</v>
      </c>
    </row>
    <row r="25" spans="1:3" x14ac:dyDescent="0.3">
      <c r="B25" t="s">
        <v>112</v>
      </c>
      <c r="C25" s="9">
        <v>9</v>
      </c>
    </row>
    <row r="26" spans="1:3" x14ac:dyDescent="0.3">
      <c r="B26" t="s">
        <v>209</v>
      </c>
      <c r="C26" s="9">
        <v>4</v>
      </c>
    </row>
    <row r="27" spans="1:3" x14ac:dyDescent="0.3">
      <c r="B27" t="s">
        <v>177</v>
      </c>
      <c r="C27" s="9">
        <v>7</v>
      </c>
    </row>
    <row r="28" spans="1:3" x14ac:dyDescent="0.3">
      <c r="B28" t="s">
        <v>86</v>
      </c>
      <c r="C28" s="9">
        <v>6</v>
      </c>
    </row>
    <row r="29" spans="1:3" x14ac:dyDescent="0.3">
      <c r="B29" t="s">
        <v>197</v>
      </c>
      <c r="C29" s="9">
        <v>8</v>
      </c>
    </row>
    <row r="30" spans="1:3" x14ac:dyDescent="0.3">
      <c r="A30" t="s">
        <v>280</v>
      </c>
      <c r="C30" s="9">
        <v>6.6</v>
      </c>
    </row>
    <row r="31" spans="1:3" x14ac:dyDescent="0.3">
      <c r="A31" t="s">
        <v>118</v>
      </c>
      <c r="B31" t="s">
        <v>191</v>
      </c>
      <c r="C31" s="9">
        <v>2</v>
      </c>
    </row>
    <row r="32" spans="1:3" x14ac:dyDescent="0.3">
      <c r="B32" t="s">
        <v>101</v>
      </c>
      <c r="C32" s="9">
        <v>5</v>
      </c>
    </row>
    <row r="33" spans="1:3" x14ac:dyDescent="0.3">
      <c r="B33" t="s">
        <v>122</v>
      </c>
      <c r="C33" s="9">
        <v>3</v>
      </c>
    </row>
    <row r="34" spans="1:3" x14ac:dyDescent="0.3">
      <c r="B34" t="s">
        <v>205</v>
      </c>
      <c r="C34" s="9">
        <v>8</v>
      </c>
    </row>
    <row r="35" spans="1:3" x14ac:dyDescent="0.3">
      <c r="B35" t="s">
        <v>146</v>
      </c>
      <c r="C35" s="9">
        <v>6</v>
      </c>
    </row>
    <row r="36" spans="1:3" x14ac:dyDescent="0.3">
      <c r="B36" t="s">
        <v>201</v>
      </c>
      <c r="C36" s="9">
        <v>8</v>
      </c>
    </row>
    <row r="37" spans="1:3" x14ac:dyDescent="0.3">
      <c r="B37" t="s">
        <v>109</v>
      </c>
      <c r="C37" s="9">
        <v>4</v>
      </c>
    </row>
    <row r="38" spans="1:3" x14ac:dyDescent="0.3">
      <c r="B38" t="s">
        <v>119</v>
      </c>
      <c r="C38" s="9">
        <v>4</v>
      </c>
    </row>
    <row r="39" spans="1:3" x14ac:dyDescent="0.3">
      <c r="A39" t="s">
        <v>281</v>
      </c>
      <c r="C39" s="9">
        <v>5</v>
      </c>
    </row>
    <row r="40" spans="1:3" x14ac:dyDescent="0.3">
      <c r="A40" t="s">
        <v>262</v>
      </c>
      <c r="C40" s="9">
        <v>6.9090909090909092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8"/>
  <sheetViews>
    <sheetView showGridLines="0" showRowColHeaders="0" zoomScale="60" zoomScaleNormal="60" workbookViewId="0">
      <selection activeCell="M11" sqref="M11"/>
    </sheetView>
  </sheetViews>
  <sheetFormatPr defaultRowHeight="14" x14ac:dyDescent="0.3"/>
  <cols>
    <col min="1" max="17" width="8.6640625" style="10"/>
    <col min="18" max="18" width="8.9140625" style="10" customWidth="1"/>
    <col min="19" max="16384" width="8.6640625" style="10"/>
  </cols>
  <sheetData>
    <row r="1" spans="1:30"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row>
    <row r="2" spans="1:30"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row>
    <row r="3" spans="1:30"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row>
    <row r="4" spans="1:30"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row>
    <row r="5" spans="1:30" ht="14.5" thickBot="1" x14ac:dyDescent="0.35"/>
    <row r="6" spans="1:30" x14ac:dyDescent="0.3">
      <c r="A6" s="16"/>
      <c r="B6" s="17"/>
      <c r="C6" s="17"/>
      <c r="D6" s="17"/>
      <c r="E6" s="17"/>
      <c r="F6" s="17"/>
      <c r="G6" s="17"/>
      <c r="H6" s="17"/>
      <c r="I6" s="17"/>
      <c r="J6" s="17"/>
      <c r="K6" s="17"/>
      <c r="L6" s="17"/>
      <c r="M6" s="17"/>
      <c r="N6" s="17"/>
      <c r="O6" s="17"/>
      <c r="P6" s="17"/>
      <c r="Q6" s="17"/>
      <c r="R6" s="17"/>
      <c r="S6" s="17"/>
      <c r="T6" s="17"/>
      <c r="U6" s="17"/>
      <c r="V6" s="17"/>
      <c r="W6" s="17"/>
      <c r="X6" s="17"/>
      <c r="Y6" s="17"/>
      <c r="Z6" s="17"/>
      <c r="AA6" s="16"/>
      <c r="AB6" s="17"/>
      <c r="AC6" s="17"/>
      <c r="AD6" s="18"/>
    </row>
    <row r="7" spans="1:30" x14ac:dyDescent="0.3">
      <c r="A7" s="19"/>
      <c r="B7" s="15"/>
      <c r="C7" s="15"/>
      <c r="D7" s="15"/>
      <c r="E7" s="15"/>
      <c r="F7" s="15"/>
      <c r="G7" s="15"/>
      <c r="H7" s="15"/>
      <c r="I7" s="15"/>
      <c r="J7" s="15"/>
      <c r="K7" s="15"/>
      <c r="L7" s="15"/>
      <c r="M7" s="15"/>
      <c r="N7" s="15"/>
      <c r="O7" s="15"/>
      <c r="P7" s="15"/>
      <c r="Q7" s="15"/>
      <c r="R7" s="15"/>
      <c r="S7" s="15"/>
      <c r="T7" s="15"/>
      <c r="U7" s="15"/>
      <c r="V7" s="15"/>
      <c r="W7" s="15"/>
      <c r="X7" s="15"/>
      <c r="Y7" s="15"/>
      <c r="Z7" s="15"/>
      <c r="AA7" s="19"/>
      <c r="AB7" s="15"/>
      <c r="AC7" s="15"/>
      <c r="AD7" s="20"/>
    </row>
    <row r="8" spans="1:30" x14ac:dyDescent="0.3">
      <c r="A8" s="19"/>
      <c r="B8" s="15"/>
      <c r="C8" s="15"/>
      <c r="D8" s="15"/>
      <c r="E8" s="15"/>
      <c r="F8" s="15"/>
      <c r="G8" s="15"/>
      <c r="H8" s="15"/>
      <c r="I8" s="15"/>
      <c r="J8" s="15"/>
      <c r="K8" s="15"/>
      <c r="L8" s="15"/>
      <c r="M8" s="15"/>
      <c r="N8" s="15"/>
      <c r="O8" s="15"/>
      <c r="P8" s="15"/>
      <c r="Q8" s="15"/>
      <c r="R8" s="15"/>
      <c r="S8" s="15"/>
      <c r="T8" s="15"/>
      <c r="U8" s="15"/>
      <c r="V8" s="15"/>
      <c r="W8" s="15"/>
      <c r="X8" s="15"/>
      <c r="Y8" s="15"/>
      <c r="Z8" s="15"/>
      <c r="AA8" s="19"/>
      <c r="AB8" s="15"/>
      <c r="AC8" s="15"/>
      <c r="AD8" s="20"/>
    </row>
    <row r="9" spans="1:30" x14ac:dyDescent="0.3">
      <c r="A9" s="19"/>
      <c r="B9" s="15"/>
      <c r="C9" s="15"/>
      <c r="D9" s="15"/>
      <c r="E9" s="15"/>
      <c r="F9" s="15"/>
      <c r="G9" s="15"/>
      <c r="H9" s="15"/>
      <c r="I9" s="15"/>
      <c r="J9" s="15"/>
      <c r="K9" s="15"/>
      <c r="L9" s="15"/>
      <c r="M9" s="15"/>
      <c r="N9" s="15"/>
      <c r="O9" s="15"/>
      <c r="P9" s="15"/>
      <c r="Q9" s="15"/>
      <c r="R9" s="15"/>
      <c r="S9" s="15"/>
      <c r="T9" s="15"/>
      <c r="U9" s="15"/>
      <c r="V9" s="15"/>
      <c r="W9" s="15"/>
      <c r="X9" s="15"/>
      <c r="Y9" s="15"/>
      <c r="Z9" s="15"/>
      <c r="AA9" s="19"/>
      <c r="AB9" s="15"/>
      <c r="AC9" s="15"/>
      <c r="AD9" s="20"/>
    </row>
    <row r="10" spans="1:30" x14ac:dyDescent="0.3">
      <c r="A10" s="19"/>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9"/>
      <c r="AB10" s="15"/>
      <c r="AC10" s="15"/>
      <c r="AD10" s="20"/>
    </row>
    <row r="11" spans="1:30" x14ac:dyDescent="0.3">
      <c r="A11" s="19"/>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9"/>
      <c r="AB11" s="15"/>
      <c r="AC11" s="15"/>
      <c r="AD11" s="20"/>
    </row>
    <row r="12" spans="1:30" x14ac:dyDescent="0.3">
      <c r="A12" s="19"/>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9"/>
      <c r="AB12" s="15"/>
      <c r="AC12" s="15"/>
      <c r="AD12" s="20"/>
    </row>
    <row r="13" spans="1:30" x14ac:dyDescent="0.3">
      <c r="A13" s="19"/>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9"/>
      <c r="AB13" s="15"/>
      <c r="AC13" s="15"/>
      <c r="AD13" s="20"/>
    </row>
    <row r="14" spans="1:30" ht="14.5" thickBot="1" x14ac:dyDescent="0.35">
      <c r="A14" s="21"/>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19"/>
      <c r="AB14" s="15"/>
      <c r="AC14" s="15"/>
      <c r="AD14" s="20"/>
    </row>
    <row r="15" spans="1:30" x14ac:dyDescent="0.3">
      <c r="A15" s="19"/>
      <c r="B15" s="15"/>
      <c r="C15" s="15"/>
      <c r="D15" s="15"/>
      <c r="E15" s="15"/>
      <c r="F15" s="15"/>
      <c r="G15" s="15"/>
      <c r="H15" s="15"/>
      <c r="I15" s="15"/>
      <c r="J15" s="20"/>
      <c r="AA15" s="19"/>
      <c r="AB15" s="15"/>
      <c r="AC15" s="15"/>
      <c r="AD15" s="20"/>
    </row>
    <row r="16" spans="1:30" x14ac:dyDescent="0.3">
      <c r="A16" s="19"/>
      <c r="B16" s="15"/>
      <c r="C16" s="15"/>
      <c r="D16" s="15"/>
      <c r="E16" s="15"/>
      <c r="F16" s="15"/>
      <c r="G16" s="15"/>
      <c r="H16" s="15"/>
      <c r="I16" s="15"/>
      <c r="J16" s="20"/>
      <c r="AA16" s="19"/>
      <c r="AB16" s="15"/>
      <c r="AC16" s="15"/>
      <c r="AD16" s="20"/>
    </row>
    <row r="17" spans="1:30" x14ac:dyDescent="0.3">
      <c r="A17" s="19"/>
      <c r="B17" s="15"/>
      <c r="C17" s="15"/>
      <c r="D17" s="15"/>
      <c r="E17" s="15"/>
      <c r="F17" s="15"/>
      <c r="G17" s="15"/>
      <c r="H17" s="15"/>
      <c r="I17" s="15"/>
      <c r="J17" s="20"/>
      <c r="AA17" s="19"/>
      <c r="AB17" s="15"/>
      <c r="AC17" s="15"/>
      <c r="AD17" s="20"/>
    </row>
    <row r="18" spans="1:30" x14ac:dyDescent="0.3">
      <c r="A18" s="19"/>
      <c r="B18" s="15"/>
      <c r="C18" s="15"/>
      <c r="D18" s="15"/>
      <c r="E18" s="15"/>
      <c r="F18" s="15"/>
      <c r="G18" s="15"/>
      <c r="H18" s="15"/>
      <c r="I18" s="15"/>
      <c r="J18" s="20"/>
      <c r="AA18" s="19"/>
      <c r="AB18" s="15"/>
      <c r="AC18" s="15"/>
      <c r="AD18" s="20"/>
    </row>
    <row r="19" spans="1:30" x14ac:dyDescent="0.3">
      <c r="A19" s="19"/>
      <c r="B19" s="15"/>
      <c r="C19" s="15"/>
      <c r="D19" s="15"/>
      <c r="E19" s="15"/>
      <c r="F19" s="15"/>
      <c r="G19" s="15"/>
      <c r="H19" s="15"/>
      <c r="I19" s="15"/>
      <c r="J19" s="20"/>
      <c r="AA19" s="19"/>
      <c r="AB19" s="15"/>
      <c r="AC19" s="15"/>
      <c r="AD19" s="20"/>
    </row>
    <row r="20" spans="1:30" x14ac:dyDescent="0.3">
      <c r="A20" s="19"/>
      <c r="B20" s="15"/>
      <c r="C20" s="15"/>
      <c r="D20" s="15"/>
      <c r="E20" s="15"/>
      <c r="F20" s="15"/>
      <c r="G20" s="15"/>
      <c r="H20" s="15"/>
      <c r="I20" s="15"/>
      <c r="J20" s="20"/>
      <c r="AA20" s="19"/>
      <c r="AB20" s="15"/>
      <c r="AC20" s="15"/>
      <c r="AD20" s="20"/>
    </row>
    <row r="21" spans="1:30" x14ac:dyDescent="0.3">
      <c r="A21" s="19"/>
      <c r="B21" s="15"/>
      <c r="C21" s="15"/>
      <c r="D21" s="15"/>
      <c r="E21" s="15"/>
      <c r="F21" s="15"/>
      <c r="G21" s="15"/>
      <c r="H21" s="15"/>
      <c r="I21" s="15"/>
      <c r="J21" s="20"/>
      <c r="AA21" s="19"/>
      <c r="AB21" s="15"/>
      <c r="AC21" s="15"/>
      <c r="AD21" s="20"/>
    </row>
    <row r="22" spans="1:30" x14ac:dyDescent="0.3">
      <c r="A22" s="19"/>
      <c r="B22" s="15"/>
      <c r="C22" s="15"/>
      <c r="D22" s="15"/>
      <c r="E22" s="15"/>
      <c r="F22" s="15"/>
      <c r="G22" s="15"/>
      <c r="H22" s="15"/>
      <c r="I22" s="15"/>
      <c r="J22" s="20"/>
      <c r="AA22" s="19"/>
      <c r="AB22" s="15"/>
      <c r="AC22" s="15"/>
      <c r="AD22" s="20"/>
    </row>
    <row r="23" spans="1:30" x14ac:dyDescent="0.3">
      <c r="A23" s="19"/>
      <c r="B23" s="15"/>
      <c r="C23" s="15"/>
      <c r="D23" s="15"/>
      <c r="E23" s="15"/>
      <c r="F23" s="15"/>
      <c r="G23" s="15"/>
      <c r="H23" s="15"/>
      <c r="I23" s="15"/>
      <c r="J23" s="20"/>
      <c r="AA23" s="19"/>
      <c r="AB23" s="15"/>
      <c r="AC23" s="15"/>
      <c r="AD23" s="20"/>
    </row>
    <row r="24" spans="1:30" x14ac:dyDescent="0.3">
      <c r="A24" s="19"/>
      <c r="B24" s="15"/>
      <c r="C24" s="15"/>
      <c r="D24" s="15"/>
      <c r="E24" s="15"/>
      <c r="F24" s="15"/>
      <c r="G24" s="15"/>
      <c r="H24" s="15"/>
      <c r="I24" s="15"/>
      <c r="J24" s="20"/>
      <c r="AA24" s="19"/>
      <c r="AB24" s="15"/>
      <c r="AC24" s="15"/>
      <c r="AD24" s="20"/>
    </row>
    <row r="25" spans="1:30" x14ac:dyDescent="0.3">
      <c r="A25" s="19"/>
      <c r="B25" s="15"/>
      <c r="C25" s="15"/>
      <c r="D25" s="15"/>
      <c r="E25" s="15"/>
      <c r="F25" s="15"/>
      <c r="G25" s="15"/>
      <c r="H25" s="15"/>
      <c r="I25" s="15"/>
      <c r="J25" s="20"/>
      <c r="AA25" s="19"/>
      <c r="AB25" s="15"/>
      <c r="AC25" s="15"/>
      <c r="AD25" s="20"/>
    </row>
    <row r="26" spans="1:30" x14ac:dyDescent="0.3">
      <c r="A26" s="19"/>
      <c r="B26" s="15"/>
      <c r="C26" s="15"/>
      <c r="D26" s="15"/>
      <c r="E26" s="15"/>
      <c r="F26" s="15"/>
      <c r="G26" s="15"/>
      <c r="H26" s="15"/>
      <c r="I26" s="15"/>
      <c r="J26" s="20"/>
      <c r="AA26" s="19"/>
      <c r="AB26" s="15"/>
      <c r="AC26" s="15"/>
      <c r="AD26" s="20"/>
    </row>
    <row r="27" spans="1:30" x14ac:dyDescent="0.3">
      <c r="A27" s="19"/>
      <c r="B27" s="15"/>
      <c r="C27" s="15"/>
      <c r="D27" s="15"/>
      <c r="E27" s="15"/>
      <c r="F27" s="15"/>
      <c r="G27" s="15"/>
      <c r="H27" s="15"/>
      <c r="I27" s="15"/>
      <c r="J27" s="20"/>
      <c r="AA27" s="19"/>
      <c r="AB27" s="15"/>
      <c r="AC27" s="15"/>
      <c r="AD27" s="20"/>
    </row>
    <row r="28" spans="1:30" x14ac:dyDescent="0.3">
      <c r="A28" s="19"/>
      <c r="B28" s="15"/>
      <c r="C28" s="15"/>
      <c r="D28" s="15"/>
      <c r="E28" s="15"/>
      <c r="F28" s="15"/>
      <c r="G28" s="15"/>
      <c r="H28" s="15"/>
      <c r="I28" s="15"/>
      <c r="J28" s="20"/>
      <c r="AA28" s="19"/>
      <c r="AB28" s="15"/>
      <c r="AC28" s="15"/>
      <c r="AD28" s="20"/>
    </row>
    <row r="29" spans="1:30" x14ac:dyDescent="0.3">
      <c r="A29" s="19"/>
      <c r="B29" s="15"/>
      <c r="C29" s="15"/>
      <c r="D29" s="15"/>
      <c r="E29" s="15"/>
      <c r="F29" s="15"/>
      <c r="G29" s="15"/>
      <c r="H29" s="15"/>
      <c r="I29" s="15"/>
      <c r="J29" s="20"/>
      <c r="AA29" s="19"/>
      <c r="AB29" s="15"/>
      <c r="AC29" s="15"/>
      <c r="AD29" s="20"/>
    </row>
    <row r="30" spans="1:30" x14ac:dyDescent="0.3">
      <c r="A30" s="19"/>
      <c r="B30" s="15"/>
      <c r="C30" s="15"/>
      <c r="D30" s="15"/>
      <c r="E30" s="15"/>
      <c r="F30" s="15"/>
      <c r="G30" s="15"/>
      <c r="H30" s="15"/>
      <c r="I30" s="15"/>
      <c r="J30" s="20"/>
      <c r="AA30" s="19"/>
      <c r="AB30" s="15"/>
      <c r="AC30" s="15"/>
      <c r="AD30" s="20"/>
    </row>
    <row r="31" spans="1:30" x14ac:dyDescent="0.3">
      <c r="A31" s="19"/>
      <c r="B31" s="15"/>
      <c r="C31" s="15"/>
      <c r="D31" s="15"/>
      <c r="E31" s="15"/>
      <c r="F31" s="15"/>
      <c r="G31" s="15"/>
      <c r="H31" s="15"/>
      <c r="I31" s="15"/>
      <c r="J31" s="20"/>
      <c r="AA31" s="19"/>
      <c r="AB31" s="15"/>
      <c r="AC31" s="15"/>
      <c r="AD31" s="20"/>
    </row>
    <row r="32" spans="1:30" x14ac:dyDescent="0.3">
      <c r="A32" s="19"/>
      <c r="B32" s="15"/>
      <c r="C32" s="15"/>
      <c r="D32" s="15"/>
      <c r="E32" s="15"/>
      <c r="F32" s="15"/>
      <c r="G32" s="15"/>
      <c r="H32" s="15"/>
      <c r="I32" s="15"/>
      <c r="J32" s="20"/>
      <c r="AA32" s="19"/>
      <c r="AB32" s="15"/>
      <c r="AC32" s="15"/>
      <c r="AD32" s="20"/>
    </row>
    <row r="33" spans="1:30" x14ac:dyDescent="0.3">
      <c r="A33" s="19"/>
      <c r="B33" s="15"/>
      <c r="C33" s="15"/>
      <c r="D33" s="15"/>
      <c r="E33" s="15"/>
      <c r="F33" s="15"/>
      <c r="G33" s="15"/>
      <c r="H33" s="15"/>
      <c r="I33" s="15"/>
      <c r="J33" s="20"/>
      <c r="AA33" s="19"/>
      <c r="AB33" s="15"/>
      <c r="AC33" s="15"/>
      <c r="AD33" s="20"/>
    </row>
    <row r="34" spans="1:30" x14ac:dyDescent="0.3">
      <c r="A34" s="19"/>
      <c r="B34" s="15"/>
      <c r="C34" s="15"/>
      <c r="D34" s="15"/>
      <c r="E34" s="15"/>
      <c r="F34" s="15"/>
      <c r="G34" s="15"/>
      <c r="H34" s="15"/>
      <c r="I34" s="15"/>
      <c r="J34" s="20"/>
      <c r="AA34" s="19"/>
      <c r="AB34" s="15"/>
      <c r="AC34" s="15"/>
      <c r="AD34" s="20"/>
    </row>
    <row r="35" spans="1:30" x14ac:dyDescent="0.3">
      <c r="A35" s="19"/>
      <c r="B35" s="15"/>
      <c r="C35" s="15"/>
      <c r="D35" s="15"/>
      <c r="E35" s="15"/>
      <c r="F35" s="15"/>
      <c r="G35" s="15"/>
      <c r="H35" s="15"/>
      <c r="I35" s="15"/>
      <c r="J35" s="20"/>
      <c r="AA35" s="19"/>
      <c r="AB35" s="15"/>
      <c r="AC35" s="15"/>
      <c r="AD35" s="20"/>
    </row>
    <row r="36" spans="1:30" ht="14.5" thickBot="1" x14ac:dyDescent="0.35">
      <c r="A36" s="19"/>
      <c r="B36" s="15"/>
      <c r="C36" s="15"/>
      <c r="D36" s="15"/>
      <c r="E36" s="15"/>
      <c r="F36" s="15"/>
      <c r="G36" s="15"/>
      <c r="H36" s="15"/>
      <c r="I36" s="15"/>
      <c r="J36" s="20"/>
      <c r="AA36" s="21"/>
      <c r="AB36" s="22"/>
      <c r="AC36" s="22"/>
      <c r="AD36" s="23"/>
    </row>
    <row r="37" spans="1:30" x14ac:dyDescent="0.3">
      <c r="A37" s="19"/>
      <c r="B37" s="15"/>
      <c r="C37" s="15"/>
      <c r="D37" s="15"/>
      <c r="E37" s="15"/>
      <c r="F37" s="15"/>
      <c r="G37" s="15"/>
      <c r="H37" s="15"/>
      <c r="I37" s="15"/>
      <c r="J37" s="20"/>
    </row>
    <row r="38" spans="1:30" x14ac:dyDescent="0.3">
      <c r="A38" s="19"/>
      <c r="B38" s="15"/>
      <c r="C38" s="15"/>
      <c r="D38" s="15"/>
      <c r="E38" s="15"/>
      <c r="F38" s="15"/>
      <c r="G38" s="15"/>
      <c r="H38" s="15"/>
      <c r="I38" s="15"/>
      <c r="J38" s="20"/>
    </row>
    <row r="39" spans="1:30" x14ac:dyDescent="0.3">
      <c r="A39" s="19"/>
      <c r="B39" s="15"/>
      <c r="C39" s="15"/>
      <c r="D39" s="15"/>
      <c r="E39" s="15"/>
      <c r="F39" s="15"/>
      <c r="G39" s="15"/>
      <c r="H39" s="15"/>
      <c r="I39" s="15"/>
      <c r="J39" s="20"/>
    </row>
    <row r="40" spans="1:30" x14ac:dyDescent="0.3">
      <c r="A40" s="19"/>
      <c r="B40" s="15"/>
      <c r="C40" s="15"/>
      <c r="D40" s="15"/>
      <c r="E40" s="15"/>
      <c r="F40" s="15"/>
      <c r="G40" s="15"/>
      <c r="H40" s="15"/>
      <c r="I40" s="15"/>
      <c r="J40" s="20"/>
    </row>
    <row r="41" spans="1:30" x14ac:dyDescent="0.3">
      <c r="A41" s="19"/>
      <c r="B41" s="15"/>
      <c r="C41" s="15"/>
      <c r="D41" s="15"/>
      <c r="E41" s="15"/>
      <c r="F41" s="15"/>
      <c r="G41" s="15"/>
      <c r="H41" s="15"/>
      <c r="I41" s="15"/>
      <c r="J41" s="20"/>
    </row>
    <row r="42" spans="1:30" x14ac:dyDescent="0.3">
      <c r="A42" s="19"/>
      <c r="B42" s="15"/>
      <c r="C42" s="15"/>
      <c r="D42" s="15"/>
      <c r="E42" s="15"/>
      <c r="F42" s="15"/>
      <c r="G42" s="15"/>
      <c r="H42" s="15"/>
      <c r="I42" s="15"/>
      <c r="J42" s="20"/>
    </row>
    <row r="43" spans="1:30" x14ac:dyDescent="0.3">
      <c r="A43" s="19"/>
      <c r="B43" s="15"/>
      <c r="C43" s="15"/>
      <c r="D43" s="15"/>
      <c r="E43" s="15"/>
      <c r="F43" s="15"/>
      <c r="G43" s="15"/>
      <c r="H43" s="15"/>
      <c r="I43" s="15"/>
      <c r="J43" s="20"/>
    </row>
    <row r="44" spans="1:30" x14ac:dyDescent="0.3">
      <c r="A44" s="19"/>
      <c r="B44" s="15"/>
      <c r="C44" s="15"/>
      <c r="D44" s="15"/>
      <c r="E44" s="15"/>
      <c r="F44" s="15"/>
      <c r="G44" s="15"/>
      <c r="H44" s="15"/>
      <c r="I44" s="15"/>
      <c r="J44" s="20"/>
    </row>
    <row r="45" spans="1:30" x14ac:dyDescent="0.3">
      <c r="A45" s="19"/>
      <c r="B45" s="15"/>
      <c r="C45" s="15"/>
      <c r="D45" s="15"/>
      <c r="E45" s="15"/>
      <c r="F45" s="15"/>
      <c r="G45" s="15"/>
      <c r="H45" s="15"/>
      <c r="I45" s="15"/>
      <c r="J45" s="20"/>
    </row>
    <row r="46" spans="1:30" x14ac:dyDescent="0.3">
      <c r="A46" s="19"/>
      <c r="B46" s="15"/>
      <c r="C46" s="15"/>
      <c r="D46" s="15"/>
      <c r="E46" s="15"/>
      <c r="F46" s="15"/>
      <c r="G46" s="15"/>
      <c r="H46" s="15"/>
      <c r="I46" s="15"/>
      <c r="J46" s="20"/>
    </row>
    <row r="47" spans="1:30" x14ac:dyDescent="0.3">
      <c r="A47" s="19"/>
      <c r="B47" s="15"/>
      <c r="C47" s="15"/>
      <c r="D47" s="15"/>
      <c r="E47" s="15"/>
      <c r="F47" s="15"/>
      <c r="G47" s="15"/>
      <c r="H47" s="15"/>
      <c r="I47" s="15"/>
      <c r="J47" s="20"/>
    </row>
    <row r="48" spans="1:30" ht="14.5" thickBot="1" x14ac:dyDescent="0.35">
      <c r="A48" s="21"/>
      <c r="B48" s="22"/>
      <c r="C48" s="22"/>
      <c r="D48" s="22"/>
      <c r="E48" s="22"/>
      <c r="F48" s="22"/>
      <c r="G48" s="22"/>
      <c r="H48" s="22"/>
      <c r="I48" s="22"/>
      <c r="J48" s="2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6"/>
  <sheetViews>
    <sheetView workbookViewId="0">
      <selection activeCell="G4" sqref="G4"/>
    </sheetView>
  </sheetViews>
  <sheetFormatPr defaultRowHeight="14" x14ac:dyDescent="0.3"/>
  <cols>
    <col min="1" max="1" width="12.1640625" bestFit="1" customWidth="1"/>
    <col min="3" max="3" width="9.1640625" bestFit="1" customWidth="1"/>
    <col min="7" max="7" width="9.1640625" bestFit="1" customWidth="1"/>
  </cols>
  <sheetData>
    <row r="2" spans="1:7" x14ac:dyDescent="0.3">
      <c r="A2" t="s">
        <v>270</v>
      </c>
      <c r="C2" t="s">
        <v>271</v>
      </c>
    </row>
    <row r="3" spans="1:7" x14ac:dyDescent="0.3">
      <c r="A3">
        <f>SUM(GETPIVOTDATA("Call Duration (Minutes)",Sheet4!$A$3))</f>
        <v>1838</v>
      </c>
      <c r="C3" s="12">
        <f>GETPIVOTDATA("Average of CSAT Score",Sheet4!$A$3)</f>
        <v>5.3285714285714283</v>
      </c>
      <c r="G3" t="s">
        <v>273</v>
      </c>
    </row>
    <row r="4" spans="1:7" x14ac:dyDescent="0.3">
      <c r="A4" t="s">
        <v>272</v>
      </c>
      <c r="G4" s="11">
        <f>GETPIVOTDATA("Response Time",Sheet2!$A$3,"Response Time","Above SLA")/GETPIVOTDATA("Response Time",Sheet2!$A$3)</f>
        <v>0.11428571428571428</v>
      </c>
    </row>
    <row r="5" spans="1:7" x14ac:dyDescent="0.3">
      <c r="A5" s="12">
        <f>GETPIVOTDATA("Average of Call Duration (Minutes)2",Sheet4!$A$3)</f>
        <v>26.257142857142856</v>
      </c>
      <c r="G5" s="11">
        <f>GETPIVOTDATA("Response Time",Sheet2!$A$3,"Response Time","Below SLA")/GETPIVOTDATA("Response Time",Sheet2!$A$3)</f>
        <v>0.12857142857142856</v>
      </c>
    </row>
    <row r="6" spans="1:7" x14ac:dyDescent="0.3">
      <c r="G6" s="11">
        <f>GETPIVOTDATA("Response Time",Sheet2!$A$3,"Response Time","Within SLA")/GETPIVOTDATA("Response Time",Sheet2!$A$3)</f>
        <v>0.75714285714285712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B4" sqref="B4:B5"/>
    </sheetView>
  </sheetViews>
  <sheetFormatPr defaultRowHeight="14" x14ac:dyDescent="0.3"/>
  <cols>
    <col min="1" max="1" width="11.75" customWidth="1"/>
    <col min="2" max="2" width="19.75" bestFit="1" customWidth="1"/>
  </cols>
  <sheetData>
    <row r="3" spans="1:2" x14ac:dyDescent="0.3">
      <c r="A3" s="8" t="s">
        <v>274</v>
      </c>
      <c r="B3" t="s">
        <v>276</v>
      </c>
    </row>
    <row r="4" spans="1:2" x14ac:dyDescent="0.3">
      <c r="A4" s="13" t="s">
        <v>72</v>
      </c>
      <c r="B4" s="14">
        <v>0.11428571428571428</v>
      </c>
    </row>
    <row r="5" spans="1:2" x14ac:dyDescent="0.3">
      <c r="A5" s="13" t="s">
        <v>41</v>
      </c>
      <c r="B5" s="14">
        <v>0.12857142857142856</v>
      </c>
    </row>
    <row r="6" spans="1:2" x14ac:dyDescent="0.3">
      <c r="A6" s="13" t="s">
        <v>21</v>
      </c>
      <c r="B6" s="14">
        <v>0.75714285714285712</v>
      </c>
    </row>
    <row r="7" spans="1:2" x14ac:dyDescent="0.3">
      <c r="A7" s="13" t="s">
        <v>262</v>
      </c>
      <c r="B7" s="14">
        <v>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4"/>
  <sheetViews>
    <sheetView workbookViewId="0">
      <selection activeCell="C4" sqref="C4"/>
    </sheetView>
  </sheetViews>
  <sheetFormatPr defaultRowHeight="14" x14ac:dyDescent="0.3"/>
  <cols>
    <col min="1" max="1" width="24.9140625" customWidth="1"/>
    <col min="2" max="2" width="29.5" customWidth="1"/>
    <col min="3" max="4" width="18.83203125" customWidth="1"/>
    <col min="5" max="25" width="2.75" customWidth="1"/>
    <col min="26" max="27" width="3.75" customWidth="1"/>
    <col min="28" max="28" width="2.75" customWidth="1"/>
    <col min="29" max="29" width="3.75" customWidth="1"/>
    <col min="30" max="33" width="2.75" customWidth="1"/>
    <col min="34" max="34" width="3.75" customWidth="1"/>
    <col min="35" max="35" width="2.75" customWidth="1"/>
    <col min="36" max="36" width="10" bestFit="1" customWidth="1"/>
  </cols>
  <sheetData>
    <row r="3" spans="1:3" x14ac:dyDescent="0.3">
      <c r="A3" t="s">
        <v>260</v>
      </c>
      <c r="B3" t="s">
        <v>275</v>
      </c>
      <c r="C3" t="s">
        <v>268</v>
      </c>
    </row>
    <row r="4" spans="1:3" x14ac:dyDescent="0.3">
      <c r="A4" s="9">
        <v>1838</v>
      </c>
      <c r="B4" s="11">
        <v>26.257142857142856</v>
      </c>
      <c r="C4" s="9">
        <v>5.3285714285714283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Call Center Data</vt:lpstr>
      <vt:lpstr>sentiment analysis</vt:lpstr>
      <vt:lpstr>operation perform</vt:lpstr>
      <vt:lpstr>SLA perform</vt:lpstr>
      <vt:lpstr>CSAT Analysis</vt:lpstr>
      <vt:lpstr>dashboard</vt:lpstr>
      <vt:lpstr>KPI_calculation</vt:lpstr>
      <vt:lpstr>Sheet2</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Seemanto Saha</dc:creator>
  <cp:keywords/>
  <dc:description/>
  <cp:lastModifiedBy>HP</cp:lastModifiedBy>
  <cp:revision/>
  <dcterms:created xsi:type="dcterms:W3CDTF">2024-02-19T11:52:50Z</dcterms:created>
  <dcterms:modified xsi:type="dcterms:W3CDTF">2026-02-09T08:30:42Z</dcterms:modified>
  <cp:category/>
  <cp:contentStatus/>
</cp:coreProperties>
</file>