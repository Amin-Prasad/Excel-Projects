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/>
  </bookViews>
  <sheets>
    <sheet name="Sheet1" sheetId="1" r:id="rId1"/>
    <sheet name="Sheet2" sheetId="2" r:id="rId2"/>
    <sheet name="Sheet5" sheetId="6" r:id="rId3"/>
    <sheet name="Sheet3" sheetId="5" r:id="rId4"/>
    <sheet name="Sheet4" sheetId="4" r:id="rId5"/>
  </sheets>
  <calcPr calcId="162913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<sst xmlns="http://schemas.openxmlformats.org/spreadsheetml/2006/main" count="103" uniqueCount="45">
  <si>
    <t>Date</t>
  </si>
  <si>
    <t>Region</t>
  </si>
  <si>
    <t>Salesperson</t>
  </si>
  <si>
    <t>product</t>
  </si>
  <si>
    <t>Units Sold</t>
  </si>
  <si>
    <t>Unit Price</t>
  </si>
  <si>
    <t>Revenue</t>
  </si>
  <si>
    <t>Cost</t>
  </si>
  <si>
    <t>Profit</t>
  </si>
  <si>
    <t>north</t>
  </si>
  <si>
    <t>south</t>
  </si>
  <si>
    <t>east</t>
  </si>
  <si>
    <t>west</t>
  </si>
  <si>
    <t>rahul</t>
  </si>
  <si>
    <t>anjali</t>
  </si>
  <si>
    <t>suresh</t>
  </si>
  <si>
    <t>joel</t>
  </si>
  <si>
    <t>joyal</t>
  </si>
  <si>
    <t>amin</t>
  </si>
  <si>
    <t>athul</t>
  </si>
  <si>
    <t>anadhu</t>
  </si>
  <si>
    <t>namitha</t>
  </si>
  <si>
    <t>apoorva</t>
  </si>
  <si>
    <t>apoorva gt</t>
  </si>
  <si>
    <t>sahar</t>
  </si>
  <si>
    <t>dhanush</t>
  </si>
  <si>
    <t>pranav</t>
  </si>
  <si>
    <t>aswin</t>
  </si>
  <si>
    <t>appu</t>
  </si>
  <si>
    <t>unni</t>
  </si>
  <si>
    <t>aishwarya</t>
  </si>
  <si>
    <t>parijanya</t>
  </si>
  <si>
    <t>nandhan</t>
  </si>
  <si>
    <t>milk</t>
  </si>
  <si>
    <t>butter</t>
  </si>
  <si>
    <t>oil</t>
  </si>
  <si>
    <t>bread</t>
  </si>
  <si>
    <t>colgate</t>
  </si>
  <si>
    <t>biscut</t>
  </si>
  <si>
    <t>cookies</t>
  </si>
  <si>
    <t>company rate(manufaturing)</t>
  </si>
  <si>
    <t>Grand Total</t>
  </si>
  <si>
    <t>Row Labels</t>
  </si>
  <si>
    <t>Sum of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</si>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</sst>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2" borderId="0" xfId="0" applyFont="1" applyFill="1"/>
    <xf numFmtId="0" fontId="1" fillId="4" borderId="0" xfId="0" applyFont="1" applyFill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42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2" tint="-0.499984740745262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numFmt numFmtId="19" formatCode="dd/mm/yy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 tint="4.9989318521683403E-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[amin first project.xlsx]Sheet2!PivotTable8</c:name>
    <c:fmtId val="6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6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7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8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</c:pivotFmt>
      <c:pivotFmt>
        <c:idx val="9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969841237122223E-2"/>
          <c:y val="0.1081560045584605"/>
          <c:w val="0.84190464633861906"/>
          <c:h val="0.608169202051770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Sheet2!$A$5:$A$25</c:f>
              <c:strCache>
                <c:ptCount val="20"/>
                <c:pt idx="0">
                  <c:v>aishwarya</c:v>
                </c:pt>
                <c:pt idx="1">
                  <c:v>amin</c:v>
                </c:pt>
                <c:pt idx="2">
                  <c:v>anadhu</c:v>
                </c:pt>
                <c:pt idx="3">
                  <c:v>anjali</c:v>
                </c:pt>
                <c:pt idx="4">
                  <c:v>apoorva</c:v>
                </c:pt>
                <c:pt idx="5">
                  <c:v>apoorva gt</c:v>
                </c:pt>
                <c:pt idx="6">
                  <c:v>appu</c:v>
                </c:pt>
                <c:pt idx="7">
                  <c:v>aswin</c:v>
                </c:pt>
                <c:pt idx="8">
                  <c:v>athul</c:v>
                </c:pt>
                <c:pt idx="9">
                  <c:v>dhanush</c:v>
                </c:pt>
                <c:pt idx="10">
                  <c:v>joel</c:v>
                </c:pt>
                <c:pt idx="11">
                  <c:v>joyal</c:v>
                </c:pt>
                <c:pt idx="12">
                  <c:v>namitha</c:v>
                </c:pt>
                <c:pt idx="13">
                  <c:v>nandhan</c:v>
                </c:pt>
                <c:pt idx="14">
                  <c:v>parijanya</c:v>
                </c:pt>
                <c:pt idx="15">
                  <c:v>pranav</c:v>
                </c:pt>
                <c:pt idx="16">
                  <c:v>rahul</c:v>
                </c:pt>
                <c:pt idx="17">
                  <c:v>sahar</c:v>
                </c:pt>
                <c:pt idx="18">
                  <c:v>suresh</c:v>
                </c:pt>
                <c:pt idx="19">
                  <c:v>unni</c:v>
                </c:pt>
              </c:strCache>
            </c:strRef>
          </c:cat>
          <c:val>
            <c:numRef>
              <c:f>Sheet2!$B$5:$B$25</c:f>
              <c:numCache>
                <c:formatCode>General</c:formatCode>
                <c:ptCount val="20"/>
                <c:pt idx="0">
                  <c:v>660</c:v>
                </c:pt>
                <c:pt idx="1">
                  <c:v>1000</c:v>
                </c:pt>
                <c:pt idx="2">
                  <c:v>260</c:v>
                </c:pt>
                <c:pt idx="3">
                  <c:v>600</c:v>
                </c:pt>
                <c:pt idx="4">
                  <c:v>2250</c:v>
                </c:pt>
                <c:pt idx="5">
                  <c:v>1100</c:v>
                </c:pt>
                <c:pt idx="6">
                  <c:v>900</c:v>
                </c:pt>
                <c:pt idx="7">
                  <c:v>1040</c:v>
                </c:pt>
                <c:pt idx="8">
                  <c:v>1600</c:v>
                </c:pt>
                <c:pt idx="9">
                  <c:v>1400</c:v>
                </c:pt>
                <c:pt idx="10">
                  <c:v>3300</c:v>
                </c:pt>
                <c:pt idx="11">
                  <c:v>5340</c:v>
                </c:pt>
                <c:pt idx="12">
                  <c:v>1200</c:v>
                </c:pt>
                <c:pt idx="13">
                  <c:v>200</c:v>
                </c:pt>
                <c:pt idx="14">
                  <c:v>1200</c:v>
                </c:pt>
                <c:pt idx="15">
                  <c:v>600</c:v>
                </c:pt>
                <c:pt idx="16">
                  <c:v>416</c:v>
                </c:pt>
                <c:pt idx="17">
                  <c:v>1800</c:v>
                </c:pt>
                <c:pt idx="18">
                  <c:v>3750</c:v>
                </c:pt>
                <c:pt idx="19">
                  <c:v>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3-4979-9118-0C3426357E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56278112"/>
        <c:axId val="556271872"/>
      </c:barChart>
      <c:catAx>
        <c:axId val="556278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layout>
            <c:manualLayout>
              <c:xMode val="edge"/>
              <c:yMode val="edge"/>
              <c:x val="0.45933722854202957"/>
              <c:y val="0.928751595854783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1872"/>
        <c:crosses val="autoZero"/>
        <c:auto val="1"/>
        <c:lblAlgn val="ctr"/>
        <c:lblOffset val="100"/>
        <c:noMultiLvlLbl val="0"/>
      </c:catAx>
      <c:valAx>
        <c:axId val="556271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8.779063519022752E-3"/>
              <c:y val="0.40384537909452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7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[amin first project.xlsx]Sheet5!PivotTable2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year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Sheet5!$A$4:$A$24</c:f>
              <c:strCache>
                <c:ptCount val="20"/>
                <c:pt idx="0">
                  <c:v>01-01-25</c:v>
                </c:pt>
                <c:pt idx="1">
                  <c:v>02-01-25</c:v>
                </c:pt>
                <c:pt idx="2">
                  <c:v>03-01-25</c:v>
                </c:pt>
                <c:pt idx="3">
                  <c:v>04-01-25</c:v>
                </c:pt>
                <c:pt idx="4">
                  <c:v>05-01-25</c:v>
                </c:pt>
                <c:pt idx="5">
                  <c:v>06-01-25</c:v>
                </c:pt>
                <c:pt idx="6">
                  <c:v>07-01-25</c:v>
                </c:pt>
                <c:pt idx="7">
                  <c:v>08-01-25</c:v>
                </c:pt>
                <c:pt idx="8">
                  <c:v>09-01-25</c:v>
                </c:pt>
                <c:pt idx="9">
                  <c:v>10-01-25</c:v>
                </c:pt>
                <c:pt idx="10">
                  <c:v>11-01-25</c:v>
                </c:pt>
                <c:pt idx="11">
                  <c:v>12-01-25</c:v>
                </c:pt>
                <c:pt idx="12">
                  <c:v>13-01-25</c:v>
                </c:pt>
                <c:pt idx="13">
                  <c:v>14-01-25</c:v>
                </c:pt>
                <c:pt idx="14">
                  <c:v>15-01-25</c:v>
                </c:pt>
                <c:pt idx="15">
                  <c:v>16-01-25</c:v>
                </c:pt>
                <c:pt idx="16">
                  <c:v>17-01-25</c:v>
                </c:pt>
                <c:pt idx="17">
                  <c:v>18-01-25</c:v>
                </c:pt>
                <c:pt idx="18">
                  <c:v>19-01-25</c:v>
                </c:pt>
                <c:pt idx="19">
                  <c:v>20-01-25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416</c:v>
                </c:pt>
                <c:pt idx="1">
                  <c:v>600</c:v>
                </c:pt>
                <c:pt idx="2">
                  <c:v>3750</c:v>
                </c:pt>
                <c:pt idx="3">
                  <c:v>3300</c:v>
                </c:pt>
                <c:pt idx="4">
                  <c:v>5340</c:v>
                </c:pt>
                <c:pt idx="5">
                  <c:v>1000</c:v>
                </c:pt>
                <c:pt idx="6">
                  <c:v>1600</c:v>
                </c:pt>
                <c:pt idx="7">
                  <c:v>260</c:v>
                </c:pt>
                <c:pt idx="8">
                  <c:v>1200</c:v>
                </c:pt>
                <c:pt idx="9">
                  <c:v>2250</c:v>
                </c:pt>
                <c:pt idx="10">
                  <c:v>1100</c:v>
                </c:pt>
                <c:pt idx="11">
                  <c:v>1800</c:v>
                </c:pt>
                <c:pt idx="12">
                  <c:v>1400</c:v>
                </c:pt>
                <c:pt idx="13">
                  <c:v>600</c:v>
                </c:pt>
                <c:pt idx="14">
                  <c:v>1040</c:v>
                </c:pt>
                <c:pt idx="15">
                  <c:v>900</c:v>
                </c:pt>
                <c:pt idx="16">
                  <c:v>2250</c:v>
                </c:pt>
                <c:pt idx="17">
                  <c:v>660</c:v>
                </c:pt>
                <c:pt idx="18">
                  <c:v>1200</c:v>
                </c:pt>
                <c:pt idx="19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F-43B7-A8F3-6EB6CF7DF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773472"/>
        <c:axId val="1659765984"/>
      </c:barChart>
      <c:catAx>
        <c:axId val="165977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3752427821522311"/>
              <c:y val="0.88433070866141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65984"/>
        <c:crosses val="autoZero"/>
        <c:auto val="1"/>
        <c:lblAlgn val="ctr"/>
        <c:lblOffset val="100"/>
        <c:noMultiLvlLbl val="0"/>
      </c:catAx>
      <c:valAx>
        <c:axId val="16597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7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[amin first project.xlsx]Sheet3!PivotTable1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region</a:t>
            </a:r>
            <a:endParaRPr lang="en-US"/>
          </a:p>
        </c:rich>
      </c:tx>
      <c:layout>
        <c:manualLayout>
          <c:xMode val="edge"/>
          <c:yMode val="edge"/>
          <c:x val="0.4591666666666666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137270341207351"/>
          <c:y val="0.29569225721784775"/>
          <c:w val="0.70221981627296592"/>
          <c:h val="0.43957239720034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2607</c:v>
                </c:pt>
                <c:pt idx="1">
                  <c:v>3181.8000000000006</c:v>
                </c:pt>
                <c:pt idx="2">
                  <c:v>1533</c:v>
                </c:pt>
                <c:pt idx="3">
                  <c:v>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7-413E-8192-F912FC0EDA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7128896"/>
        <c:axId val="919386560"/>
      </c:barChart>
      <c:catAx>
        <c:axId val="142712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layout>
            <c:manualLayout>
              <c:xMode val="edge"/>
              <c:yMode val="edge"/>
              <c:x val="0.42641316710411192"/>
              <c:y val="0.88896033829104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86560"/>
        <c:crosses val="autoZero"/>
        <c:auto val="1"/>
        <c:lblAlgn val="ctr"/>
        <c:lblOffset val="100"/>
        <c:noMultiLvlLbl val="0"/>
      </c:catAx>
      <c:valAx>
        <c:axId val="9193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12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848894</xdr:colOff>
      <xdr:row>29</xdr:row>
      <xdr:rowOff>99261</xdr:rowOff>
    </xdr:from>
    <xdr:to>
      <xdr:col>11</xdr:col>
      <xdr:colOff>40105</xdr:colOff>
      <xdr:row>52</xdr:row>
      <xdr:rowOff>113631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269875</xdr:colOff>
      <xdr:row>3</xdr:row>
      <xdr:rowOff>168275</xdr:rowOff>
    </xdr:from>
    <xdr:to>
      <xdr:col>11</xdr:col>
      <xdr:colOff>574675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3</xdr:row>
      <xdr:rowOff>168275</xdr:rowOff>
    </xdr:from>
    <xdr:to>
      <xdr:col>12</xdr:col>
      <xdr:colOff>219075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52.471087152779" createdVersion="6" refreshedVersion="6" minRefreshableVersion="3" recordCount="20">
  <cacheSource type="worksheet">
    <worksheetSource name="Table1"/>
  </cacheSource>
  <cacheFields count="9">
    <cacheField name="Date" numFmtId="14">
      <sharedItems containsSemiMixedTypes="0" containsNonDate="0" containsDate="1" containsString="0" minDate="2025-01-01T00:00:00" maxDate="2025-01-21T00:00:00" count="20">
        <d v="2025-01-05T00:00:00"/>
        <d v="2025-01-03T00:00:00"/>
        <d v="2025-01-04T00:00:00"/>
        <d v="2025-01-10T00:00:00"/>
        <d v="2025-01-17T00:00:00"/>
        <d v="2025-01-12T00:00:00"/>
        <d v="2025-01-07T00:00:00"/>
        <d v="2025-01-13T00:00:00"/>
        <d v="2025-01-09T00:00:00"/>
        <d v="2025-01-19T00:00:00"/>
        <d v="2025-01-11T00:00:00"/>
        <d v="2025-01-15T00:00:00"/>
        <d v="2025-01-06T00:00:00"/>
        <d v="2025-01-16T00:00:00"/>
        <d v="2025-01-18T00:00:00"/>
        <d v="2025-01-14T00:00:00"/>
        <d v="2025-01-02T00:00:00"/>
        <d v="2025-01-01T00:00:00"/>
        <d v="2025-01-08T00:00:00"/>
        <d v="2025-01-20T00:00:00"/>
      </sharedItems>
    </cacheField>
    <cacheField name="Region" numFmtId="0">
      <sharedItems count="4">
        <s v="north"/>
        <s v="east"/>
        <s v="west"/>
        <s v="south"/>
      </sharedItems>
    </cacheField>
    <cacheField name="Salesperson" numFmtId="0">
      <sharedItems count="20">
        <s v="joyal"/>
        <s v="suresh"/>
        <s v="joel"/>
        <s v="apoorva"/>
        <s v="unni"/>
        <s v="sahar"/>
        <s v="athul"/>
        <s v="dhanush"/>
        <s v="namitha"/>
        <s v="parijanya"/>
        <s v="apoorva gt"/>
        <s v="aswin"/>
        <s v="amin"/>
        <s v="appu"/>
        <s v="aishwarya"/>
        <s v="pranav"/>
        <s v="anjali"/>
        <s v="rahul"/>
        <s v="anadhu"/>
        <s v="nandhan"/>
      </sharedItems>
    </cacheField>
    <cacheField name="product" numFmtId="0">
      <sharedItems count="7">
        <s v="colgate"/>
        <s v="oil"/>
        <s v="bread"/>
        <s v="cookies"/>
        <s v="biscut"/>
        <s v="butter"/>
        <s v="milk"/>
      </sharedItems>
    </cacheField>
    <cacheField name="Units Sold" numFmtId="0">
      <sharedItems containsSemiMixedTypes="0" containsString="0" containsNumber="1" containsInteger="1" minValue="10" maxValue="89"/>
    </cacheField>
    <cacheField name="Unit Price" numFmtId="0">
      <sharedItems containsSemiMixedTypes="0" containsString="0" containsNumber="1" containsInteger="1" minValue="20" maxValue="150"/>
    </cacheField>
    <cacheField name="Revenue" numFmtId="0">
      <sharedItems containsSemiMixedTypes="0" containsString="0" containsNumber="1" containsInteger="1" minValue="200" maxValue="5340"/>
    </cacheField>
    <cacheField name="Cost" numFmtId="0">
      <sharedItems containsSemiMixedTypes="0" containsString="0" containsNumber="1" minValue="140" maxValue="3737.9999999999995"/>
    </cacheField>
    <cacheField name="Profit" numFmtId="0">
      <sharedItems containsSemiMixedTypes="0" containsString="0" containsNumber="1" minValue="60" maxValue="1602.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n v="89"/>
    <n v="60"/>
    <n v="5340"/>
    <n v="3737.9999999999995"/>
    <n v="1602.0000000000005"/>
  </r>
  <r>
    <x v="1"/>
    <x v="1"/>
    <x v="1"/>
    <x v="1"/>
    <n v="25"/>
    <n v="150"/>
    <n v="3750"/>
    <n v="2625"/>
    <n v="1125"/>
  </r>
  <r>
    <x v="2"/>
    <x v="2"/>
    <x v="2"/>
    <x v="2"/>
    <n v="60"/>
    <n v="55"/>
    <n v="3300"/>
    <n v="2310"/>
    <n v="990"/>
  </r>
  <r>
    <x v="3"/>
    <x v="3"/>
    <x v="3"/>
    <x v="1"/>
    <n v="15"/>
    <n v="150"/>
    <n v="2250"/>
    <n v="1575"/>
    <n v="675"/>
  </r>
  <r>
    <x v="4"/>
    <x v="0"/>
    <x v="4"/>
    <x v="1"/>
    <n v="15"/>
    <n v="150"/>
    <n v="2250"/>
    <n v="1575"/>
    <n v="675"/>
  </r>
  <r>
    <x v="5"/>
    <x v="2"/>
    <x v="5"/>
    <x v="0"/>
    <n v="30"/>
    <n v="60"/>
    <n v="1800"/>
    <n v="1260"/>
    <n v="540"/>
  </r>
  <r>
    <x v="6"/>
    <x v="1"/>
    <x v="6"/>
    <x v="3"/>
    <n v="40"/>
    <n v="40"/>
    <n v="1600"/>
    <n v="1120"/>
    <n v="480"/>
  </r>
  <r>
    <x v="7"/>
    <x v="0"/>
    <x v="7"/>
    <x v="4"/>
    <n v="70"/>
    <n v="20"/>
    <n v="1400"/>
    <n v="979.99999999999989"/>
    <n v="420.00000000000011"/>
  </r>
  <r>
    <x v="8"/>
    <x v="0"/>
    <x v="8"/>
    <x v="5"/>
    <n v="20"/>
    <n v="60"/>
    <n v="1200"/>
    <n v="840"/>
    <n v="360"/>
  </r>
  <r>
    <x v="9"/>
    <x v="1"/>
    <x v="9"/>
    <x v="0"/>
    <n v="20"/>
    <n v="60"/>
    <n v="1200"/>
    <n v="840"/>
    <n v="360"/>
  </r>
  <r>
    <x v="10"/>
    <x v="1"/>
    <x v="10"/>
    <x v="2"/>
    <n v="20"/>
    <n v="55"/>
    <n v="1100"/>
    <n v="770"/>
    <n v="330"/>
  </r>
  <r>
    <x v="11"/>
    <x v="1"/>
    <x v="11"/>
    <x v="6"/>
    <n v="40"/>
    <n v="26"/>
    <n v="1040"/>
    <n v="728"/>
    <n v="312"/>
  </r>
  <r>
    <x v="12"/>
    <x v="3"/>
    <x v="12"/>
    <x v="4"/>
    <n v="50"/>
    <n v="20"/>
    <n v="1000"/>
    <n v="700"/>
    <n v="300"/>
  </r>
  <r>
    <x v="13"/>
    <x v="2"/>
    <x v="13"/>
    <x v="5"/>
    <n v="15"/>
    <n v="60"/>
    <n v="900"/>
    <n v="630"/>
    <n v="270"/>
  </r>
  <r>
    <x v="14"/>
    <x v="3"/>
    <x v="14"/>
    <x v="2"/>
    <n v="12"/>
    <n v="55"/>
    <n v="660"/>
    <n v="461.99999999999994"/>
    <n v="198.00000000000006"/>
  </r>
  <r>
    <x v="15"/>
    <x v="3"/>
    <x v="15"/>
    <x v="3"/>
    <n v="15"/>
    <n v="40"/>
    <n v="600"/>
    <n v="420"/>
    <n v="180"/>
  </r>
  <r>
    <x v="16"/>
    <x v="3"/>
    <x v="16"/>
    <x v="5"/>
    <n v="10"/>
    <n v="60"/>
    <n v="600"/>
    <n v="420"/>
    <n v="180"/>
  </r>
  <r>
    <x v="17"/>
    <x v="0"/>
    <x v="17"/>
    <x v="6"/>
    <n v="16"/>
    <n v="26"/>
    <n v="416"/>
    <n v="291.2"/>
    <n v="124.80000000000001"/>
  </r>
  <r>
    <x v="18"/>
    <x v="2"/>
    <x v="18"/>
    <x v="6"/>
    <n v="10"/>
    <n v="26"/>
    <n v="260"/>
    <n v="182"/>
    <n v="78"/>
  </r>
  <r>
    <x v="19"/>
    <x v="2"/>
    <x v="19"/>
    <x v="4"/>
    <n v="10"/>
    <n v="20"/>
    <n v="200"/>
    <n v="14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4:B25" firstHeaderRow="1" firstDataRow="1" firstDataCol="1"/>
  <pivotFields count="9">
    <pivotField numFmtId="14" showAll="0" sortType="descending"/>
    <pivotField multipleItemSelectionAllowed="1" showAll="0" sortType="ascending"/>
    <pivotField axis="axisRow" multipleItemSelectionAllowed="1" showAll="0" sortType="ascending">
      <items count="21">
        <item x="14"/>
        <item x="12"/>
        <item x="18"/>
        <item x="16"/>
        <item x="3"/>
        <item x="10"/>
        <item x="13"/>
        <item x="11"/>
        <item x="6"/>
        <item x="7"/>
        <item x="2"/>
        <item x="0"/>
        <item x="8"/>
        <item x="19"/>
        <item x="9"/>
        <item x="15"/>
        <item x="17"/>
        <item x="5"/>
        <item x="1"/>
        <item x="4"/>
        <item t="default"/>
      </items>
    </pivotField>
    <pivotField showAll="0">
      <items count="8">
        <item x="4"/>
        <item x="2"/>
        <item x="5"/>
        <item x="0"/>
        <item x="3"/>
        <item x="6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6" baseField="0" baseItem="0"/>
  </dataFields>
  <formats count="4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/>
    </format>
    <format dxfId="38">
      <pivotArea dataOnly="0" labelOnly="1" grandRow="1" outline="0" fieldPosition="0"/>
    </format>
  </formats>
  <chartFormats count="1"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4" firstHeaderRow="1" firstDataRow="1" firstDataCol="1"/>
  <pivotFields count="9">
    <pivotField axis="axisRow" numFmtId="14" showAll="0">
      <items count="21">
        <item x="17"/>
        <item x="16"/>
        <item x="1"/>
        <item x="2"/>
        <item x="0"/>
        <item x="12"/>
        <item x="6"/>
        <item x="18"/>
        <item x="8"/>
        <item x="3"/>
        <item x="10"/>
        <item x="5"/>
        <item x="7"/>
        <item x="15"/>
        <item x="11"/>
        <item x="13"/>
        <item x="4"/>
        <item x="14"/>
        <item x="9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9">
    <pivotField numFmtId="14" showAll="0">
      <items count="21">
        <item x="17"/>
        <item x="16"/>
        <item x="1"/>
        <item x="2"/>
        <item x="0"/>
        <item x="12"/>
        <item x="6"/>
        <item x="18"/>
        <item x="8"/>
        <item x="3"/>
        <item x="10"/>
        <item x="5"/>
        <item x="7"/>
        <item x="15"/>
        <item x="11"/>
        <item x="13"/>
        <item x="4"/>
        <item x="14"/>
        <item x="9"/>
        <item x="1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21" totalsRowShown="0" headerRowDxfId="37">
  <autoFilter ref="A1:I21"/>
  <sortState ref="A6:I17">
    <sortCondition descending="1" ref="G1:G21"/>
  </sortState>
  <tableColumns count="9">
    <tableColumn id="1" name="Date" dataDxfId="36"/>
    <tableColumn id="2" name="Region" dataDxfId="35"/>
    <tableColumn id="3" name="Salesperson" dataDxfId="34"/>
    <tableColumn id="4" name="product" dataDxfId="33"/>
    <tableColumn id="5" name="Units Sold" dataDxfId="32"/>
    <tableColumn id="6" name="Unit Price" dataDxfId="31"/>
    <tableColumn id="7" name="Revenue" dataDxfId="30">
      <calculatedColumnFormula>E2*F2</calculatedColumnFormula>
    </tableColumn>
    <tableColumn id="8" name="Cost" dataDxfId="29">
      <calculatedColumnFormula>G2*$J$2</calculatedColumnFormula>
    </tableColumn>
    <tableColumn id="9" name="Profit" dataDxfId="28">
      <calculatedColumnFormula>G2-H2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J2" sqref="J2"/>
    </sheetView>
  </sheetViews>
  <sheetFormatPr defaultColWidth="9.7265625" defaultRowHeight="14.5" x14ac:dyDescent="0.35"/>
  <cols>
    <col min="1" max="1" width="9.7265625" style="1"/>
    <col min="2" max="2" width="9.7265625" style="4"/>
    <col min="3" max="3" width="12.81640625" style="5" customWidth="1"/>
    <col min="4" max="4" width="9.7265625" style="6"/>
    <col min="5" max="5" width="11.1796875" style="8" customWidth="1"/>
    <col min="6" max="6" width="10.90625" style="7" customWidth="1"/>
    <col min="7" max="7" width="10" style="9" customWidth="1"/>
    <col min="8" max="8" width="9.7265625" style="10"/>
    <col min="9" max="9" width="9.7265625" style="11"/>
    <col min="10" max="10" width="24.7265625" customWidth="1"/>
  </cols>
  <sheetData>
    <row r="1" spans="1:10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40</v>
      </c>
    </row>
    <row r="2" spans="1:10" x14ac:dyDescent="0.35">
      <c r="A2" s="2">
        <v>45662</v>
      </c>
      <c r="B2" s="4" t="s">
        <v>9</v>
      </c>
      <c r="C2" s="5" t="s">
        <v>17</v>
      </c>
      <c r="D2" s="6" t="s">
        <v>37</v>
      </c>
      <c r="E2" s="8">
        <v>89</v>
      </c>
      <c r="F2" s="7">
        <v>60</v>
      </c>
      <c r="G2" s="9">
        <f t="shared" ref="G2:G21" si="0">E2*F2</f>
        <v>5340</v>
      </c>
      <c r="H2" s="10">
        <f t="shared" ref="H2:H21" si="1">G2*$J$2</f>
        <v>3737.9999999999995</v>
      </c>
      <c r="I2" s="11">
        <f t="shared" ref="I2:I21" si="2">G2-H2</f>
        <v>1602.0000000000005</v>
      </c>
      <c r="J2" s="3">
        <v>0.7</v>
      </c>
    </row>
    <row r="3" spans="1:10" x14ac:dyDescent="0.35">
      <c r="A3" s="2">
        <v>45660</v>
      </c>
      <c r="B3" s="4" t="s">
        <v>11</v>
      </c>
      <c r="C3" s="5" t="s">
        <v>15</v>
      </c>
      <c r="D3" s="6" t="s">
        <v>35</v>
      </c>
      <c r="E3" s="8">
        <v>25</v>
      </c>
      <c r="F3" s="7">
        <v>150</v>
      </c>
      <c r="G3" s="9">
        <f t="shared" si="0"/>
        <v>3750</v>
      </c>
      <c r="H3" s="10">
        <f t="shared" si="1"/>
        <v>2625</v>
      </c>
      <c r="I3" s="11">
        <f t="shared" si="2"/>
        <v>1125</v>
      </c>
    </row>
    <row r="4" spans="1:10" x14ac:dyDescent="0.35">
      <c r="A4" s="2">
        <v>45661</v>
      </c>
      <c r="B4" s="4" t="s">
        <v>12</v>
      </c>
      <c r="C4" s="5" t="s">
        <v>16</v>
      </c>
      <c r="D4" s="6" t="s">
        <v>36</v>
      </c>
      <c r="E4" s="8">
        <v>60</v>
      </c>
      <c r="F4" s="7">
        <v>55</v>
      </c>
      <c r="G4" s="9">
        <f t="shared" si="0"/>
        <v>3300</v>
      </c>
      <c r="H4" s="10">
        <f t="shared" si="1"/>
        <v>2310</v>
      </c>
      <c r="I4" s="11">
        <f t="shared" si="2"/>
        <v>990</v>
      </c>
    </row>
    <row r="5" spans="1:10" x14ac:dyDescent="0.35">
      <c r="A5" s="2">
        <v>45667</v>
      </c>
      <c r="B5" s="4" t="s">
        <v>10</v>
      </c>
      <c r="C5" s="5" t="s">
        <v>22</v>
      </c>
      <c r="D5" s="6" t="s">
        <v>35</v>
      </c>
      <c r="E5" s="8">
        <v>15</v>
      </c>
      <c r="F5" s="7">
        <v>150</v>
      </c>
      <c r="G5" s="9">
        <f t="shared" si="0"/>
        <v>2250</v>
      </c>
      <c r="H5" s="10">
        <f t="shared" si="1"/>
        <v>1575</v>
      </c>
      <c r="I5" s="11">
        <f t="shared" si="2"/>
        <v>675</v>
      </c>
    </row>
    <row r="6" spans="1:10" x14ac:dyDescent="0.35">
      <c r="A6" s="2">
        <v>45674</v>
      </c>
      <c r="B6" s="4" t="s">
        <v>9</v>
      </c>
      <c r="C6" s="5" t="s">
        <v>29</v>
      </c>
      <c r="D6" s="6" t="s">
        <v>35</v>
      </c>
      <c r="E6" s="8">
        <v>15</v>
      </c>
      <c r="F6" s="7">
        <v>150</v>
      </c>
      <c r="G6" s="9">
        <f t="shared" si="0"/>
        <v>2250</v>
      </c>
      <c r="H6" s="10">
        <f t="shared" si="1"/>
        <v>1575</v>
      </c>
      <c r="I6" s="11">
        <f t="shared" si="2"/>
        <v>675</v>
      </c>
    </row>
    <row r="7" spans="1:10" x14ac:dyDescent="0.35">
      <c r="A7" s="2">
        <v>45669</v>
      </c>
      <c r="B7" s="4" t="s">
        <v>12</v>
      </c>
      <c r="C7" s="5" t="s">
        <v>24</v>
      </c>
      <c r="D7" s="6" t="s">
        <v>37</v>
      </c>
      <c r="E7" s="8">
        <v>30</v>
      </c>
      <c r="F7" s="7">
        <v>60</v>
      </c>
      <c r="G7" s="9">
        <f t="shared" si="0"/>
        <v>1800</v>
      </c>
      <c r="H7" s="10">
        <f t="shared" si="1"/>
        <v>1260</v>
      </c>
      <c r="I7" s="11">
        <f t="shared" si="2"/>
        <v>540</v>
      </c>
    </row>
    <row r="8" spans="1:10" x14ac:dyDescent="0.35">
      <c r="A8" s="2">
        <v>45664</v>
      </c>
      <c r="B8" s="4" t="s">
        <v>11</v>
      </c>
      <c r="C8" s="5" t="s">
        <v>19</v>
      </c>
      <c r="D8" s="6" t="s">
        <v>39</v>
      </c>
      <c r="E8" s="8">
        <v>40</v>
      </c>
      <c r="F8" s="7">
        <v>40</v>
      </c>
      <c r="G8" s="9">
        <f t="shared" si="0"/>
        <v>1600</v>
      </c>
      <c r="H8" s="10">
        <f t="shared" si="1"/>
        <v>1120</v>
      </c>
      <c r="I8" s="11">
        <f t="shared" si="2"/>
        <v>480</v>
      </c>
    </row>
    <row r="9" spans="1:10" x14ac:dyDescent="0.35">
      <c r="A9" s="2">
        <v>45670</v>
      </c>
      <c r="B9" s="4" t="s">
        <v>9</v>
      </c>
      <c r="C9" s="5" t="s">
        <v>25</v>
      </c>
      <c r="D9" s="6" t="s">
        <v>38</v>
      </c>
      <c r="E9" s="8">
        <v>70</v>
      </c>
      <c r="F9" s="7">
        <v>20</v>
      </c>
      <c r="G9" s="9">
        <f t="shared" si="0"/>
        <v>1400</v>
      </c>
      <c r="H9" s="10">
        <f t="shared" si="1"/>
        <v>979.99999999999989</v>
      </c>
      <c r="I9" s="11">
        <f t="shared" si="2"/>
        <v>420.00000000000011</v>
      </c>
    </row>
    <row r="10" spans="1:10" x14ac:dyDescent="0.35">
      <c r="A10" s="2">
        <v>45666</v>
      </c>
      <c r="B10" s="4" t="s">
        <v>9</v>
      </c>
      <c r="C10" s="5" t="s">
        <v>21</v>
      </c>
      <c r="D10" s="6" t="s">
        <v>34</v>
      </c>
      <c r="E10" s="8">
        <v>20</v>
      </c>
      <c r="F10" s="7">
        <v>60</v>
      </c>
      <c r="G10" s="9">
        <f t="shared" si="0"/>
        <v>1200</v>
      </c>
      <c r="H10" s="10">
        <f t="shared" si="1"/>
        <v>840</v>
      </c>
      <c r="I10" s="11">
        <f t="shared" si="2"/>
        <v>360</v>
      </c>
    </row>
    <row r="11" spans="1:10" x14ac:dyDescent="0.35">
      <c r="A11" s="2">
        <v>45676</v>
      </c>
      <c r="B11" s="4" t="s">
        <v>11</v>
      </c>
      <c r="C11" s="5" t="s">
        <v>31</v>
      </c>
      <c r="D11" s="6" t="s">
        <v>37</v>
      </c>
      <c r="E11" s="8">
        <v>20</v>
      </c>
      <c r="F11" s="7">
        <v>60</v>
      </c>
      <c r="G11" s="9">
        <f t="shared" si="0"/>
        <v>1200</v>
      </c>
      <c r="H11" s="10">
        <f t="shared" si="1"/>
        <v>840</v>
      </c>
      <c r="I11" s="11">
        <f t="shared" si="2"/>
        <v>360</v>
      </c>
    </row>
    <row r="12" spans="1:10" x14ac:dyDescent="0.35">
      <c r="A12" s="2">
        <v>45668</v>
      </c>
      <c r="B12" s="4" t="s">
        <v>11</v>
      </c>
      <c r="C12" s="5" t="s">
        <v>23</v>
      </c>
      <c r="D12" s="6" t="s">
        <v>36</v>
      </c>
      <c r="E12" s="8">
        <v>20</v>
      </c>
      <c r="F12" s="7">
        <v>55</v>
      </c>
      <c r="G12" s="9">
        <f t="shared" si="0"/>
        <v>1100</v>
      </c>
      <c r="H12" s="10">
        <f t="shared" si="1"/>
        <v>770</v>
      </c>
      <c r="I12" s="11">
        <f t="shared" si="2"/>
        <v>330</v>
      </c>
    </row>
    <row r="13" spans="1:10" x14ac:dyDescent="0.35">
      <c r="A13" s="2">
        <v>45672</v>
      </c>
      <c r="B13" s="4" t="s">
        <v>11</v>
      </c>
      <c r="C13" s="5" t="s">
        <v>27</v>
      </c>
      <c r="D13" s="6" t="s">
        <v>33</v>
      </c>
      <c r="E13" s="8">
        <v>40</v>
      </c>
      <c r="F13" s="7">
        <v>26</v>
      </c>
      <c r="G13" s="9">
        <f t="shared" si="0"/>
        <v>1040</v>
      </c>
      <c r="H13" s="10">
        <f t="shared" si="1"/>
        <v>728</v>
      </c>
      <c r="I13" s="11">
        <f t="shared" si="2"/>
        <v>312</v>
      </c>
    </row>
    <row r="14" spans="1:10" x14ac:dyDescent="0.35">
      <c r="A14" s="2">
        <v>45663</v>
      </c>
      <c r="B14" s="4" t="s">
        <v>10</v>
      </c>
      <c r="C14" s="5" t="s">
        <v>18</v>
      </c>
      <c r="D14" s="6" t="s">
        <v>38</v>
      </c>
      <c r="E14" s="8">
        <v>50</v>
      </c>
      <c r="F14" s="7">
        <v>20</v>
      </c>
      <c r="G14" s="9">
        <f t="shared" si="0"/>
        <v>1000</v>
      </c>
      <c r="H14" s="10">
        <f t="shared" si="1"/>
        <v>700</v>
      </c>
      <c r="I14" s="11">
        <f t="shared" si="2"/>
        <v>300</v>
      </c>
    </row>
    <row r="15" spans="1:10" x14ac:dyDescent="0.35">
      <c r="A15" s="2">
        <v>45673</v>
      </c>
      <c r="B15" s="4" t="s">
        <v>12</v>
      </c>
      <c r="C15" s="5" t="s">
        <v>28</v>
      </c>
      <c r="D15" s="6" t="s">
        <v>34</v>
      </c>
      <c r="E15" s="8">
        <v>15</v>
      </c>
      <c r="F15" s="7">
        <v>60</v>
      </c>
      <c r="G15" s="9">
        <f t="shared" si="0"/>
        <v>900</v>
      </c>
      <c r="H15" s="10">
        <f t="shared" si="1"/>
        <v>630</v>
      </c>
      <c r="I15" s="11">
        <f t="shared" si="2"/>
        <v>270</v>
      </c>
    </row>
    <row r="16" spans="1:10" x14ac:dyDescent="0.35">
      <c r="A16" s="2">
        <v>45675</v>
      </c>
      <c r="B16" s="4" t="s">
        <v>10</v>
      </c>
      <c r="C16" s="5" t="s">
        <v>30</v>
      </c>
      <c r="D16" s="6" t="s">
        <v>36</v>
      </c>
      <c r="E16" s="8">
        <v>12</v>
      </c>
      <c r="F16" s="7">
        <v>55</v>
      </c>
      <c r="G16" s="9">
        <f t="shared" si="0"/>
        <v>660</v>
      </c>
      <c r="H16" s="10">
        <f t="shared" si="1"/>
        <v>461.99999999999994</v>
      </c>
      <c r="I16" s="11">
        <f t="shared" si="2"/>
        <v>198.00000000000006</v>
      </c>
    </row>
    <row r="17" spans="1:9" x14ac:dyDescent="0.35">
      <c r="A17" s="2">
        <v>45671</v>
      </c>
      <c r="B17" s="4" t="s">
        <v>10</v>
      </c>
      <c r="C17" s="5" t="s">
        <v>26</v>
      </c>
      <c r="D17" s="6" t="s">
        <v>39</v>
      </c>
      <c r="E17" s="8">
        <v>15</v>
      </c>
      <c r="F17" s="7">
        <v>40</v>
      </c>
      <c r="G17" s="9">
        <f t="shared" si="0"/>
        <v>600</v>
      </c>
      <c r="H17" s="10">
        <f t="shared" si="1"/>
        <v>420</v>
      </c>
      <c r="I17" s="11">
        <f t="shared" si="2"/>
        <v>180</v>
      </c>
    </row>
    <row r="18" spans="1:9" x14ac:dyDescent="0.35">
      <c r="A18" s="2">
        <v>45659</v>
      </c>
      <c r="B18" s="4" t="s">
        <v>10</v>
      </c>
      <c r="C18" s="5" t="s">
        <v>14</v>
      </c>
      <c r="D18" s="6" t="s">
        <v>34</v>
      </c>
      <c r="E18" s="8">
        <v>10</v>
      </c>
      <c r="F18" s="7">
        <v>60</v>
      </c>
      <c r="G18" s="9">
        <f t="shared" si="0"/>
        <v>600</v>
      </c>
      <c r="H18" s="10">
        <f t="shared" si="1"/>
        <v>420</v>
      </c>
      <c r="I18" s="11">
        <f t="shared" si="2"/>
        <v>180</v>
      </c>
    </row>
    <row r="19" spans="1:9" x14ac:dyDescent="0.35">
      <c r="A19" s="2">
        <v>45658</v>
      </c>
      <c r="B19" s="4" t="s">
        <v>9</v>
      </c>
      <c r="C19" s="5" t="s">
        <v>13</v>
      </c>
      <c r="D19" s="6" t="s">
        <v>33</v>
      </c>
      <c r="E19" s="8">
        <v>16</v>
      </c>
      <c r="F19" s="7">
        <v>26</v>
      </c>
      <c r="G19" s="9">
        <f t="shared" si="0"/>
        <v>416</v>
      </c>
      <c r="H19" s="10">
        <f t="shared" si="1"/>
        <v>291.2</v>
      </c>
      <c r="I19" s="11">
        <f t="shared" si="2"/>
        <v>124.80000000000001</v>
      </c>
    </row>
    <row r="20" spans="1:9" x14ac:dyDescent="0.35">
      <c r="A20" s="2">
        <v>45665</v>
      </c>
      <c r="B20" s="4" t="s">
        <v>12</v>
      </c>
      <c r="C20" s="5" t="s">
        <v>20</v>
      </c>
      <c r="D20" s="6" t="s">
        <v>33</v>
      </c>
      <c r="E20" s="8">
        <v>10</v>
      </c>
      <c r="F20" s="7">
        <v>26</v>
      </c>
      <c r="G20" s="9">
        <f t="shared" si="0"/>
        <v>260</v>
      </c>
      <c r="H20" s="10">
        <f t="shared" si="1"/>
        <v>182</v>
      </c>
      <c r="I20" s="11">
        <f t="shared" si="2"/>
        <v>78</v>
      </c>
    </row>
    <row r="21" spans="1:9" x14ac:dyDescent="0.35">
      <c r="A21" s="2">
        <v>45677</v>
      </c>
      <c r="B21" s="4" t="s">
        <v>12</v>
      </c>
      <c r="C21" s="5" t="s">
        <v>32</v>
      </c>
      <c r="D21" s="6" t="s">
        <v>38</v>
      </c>
      <c r="E21" s="8">
        <v>10</v>
      </c>
      <c r="F21" s="7">
        <v>20</v>
      </c>
      <c r="G21" s="9">
        <f t="shared" si="0"/>
        <v>200</v>
      </c>
      <c r="H21" s="10">
        <f t="shared" si="1"/>
        <v>140</v>
      </c>
      <c r="I21" s="11">
        <f t="shared" si="2"/>
        <v>60</v>
      </c>
    </row>
  </sheetData>
  <conditionalFormatting sqref="J2:J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5"/>
  <sheetViews>
    <sheetView zoomScale="95" workbookViewId="0">
      <selection activeCell="M40" sqref="M40"/>
    </sheetView>
  </sheetViews>
  <sheetFormatPr defaultRowHeight="14.5" x14ac:dyDescent="0.35"/>
  <cols>
    <col min="1" max="1" width="12.6328125" bestFit="1" customWidth="1"/>
    <col min="2" max="2" width="14.6328125" bestFit="1" customWidth="1"/>
    <col min="3" max="3" width="14.6328125" customWidth="1"/>
    <col min="4" max="5" width="11.81640625" customWidth="1"/>
    <col min="6" max="6" width="11.81640625" bestFit="1" customWidth="1"/>
  </cols>
  <sheetData>
    <row r="4" spans="1:2" x14ac:dyDescent="0.35">
      <c r="A4" s="5" t="s">
        <v>42</v>
      </c>
      <c r="B4" s="5" t="s">
        <v>43</v>
      </c>
    </row>
    <row r="5" spans="1:2" x14ac:dyDescent="0.35">
      <c r="A5" s="14" t="s">
        <v>30</v>
      </c>
      <c r="B5" s="15">
        <v>660</v>
      </c>
    </row>
    <row r="6" spans="1:2" x14ac:dyDescent="0.35">
      <c r="A6" s="14" t="s">
        <v>18</v>
      </c>
      <c r="B6" s="15">
        <v>1000</v>
      </c>
    </row>
    <row r="7" spans="1:2" x14ac:dyDescent="0.35">
      <c r="A7" s="14" t="s">
        <v>20</v>
      </c>
      <c r="B7" s="15">
        <v>260</v>
      </c>
    </row>
    <row r="8" spans="1:2" x14ac:dyDescent="0.35">
      <c r="A8" s="14" t="s">
        <v>14</v>
      </c>
      <c r="B8" s="15">
        <v>600</v>
      </c>
    </row>
    <row r="9" spans="1:2" x14ac:dyDescent="0.35">
      <c r="A9" s="14" t="s">
        <v>22</v>
      </c>
      <c r="B9" s="15">
        <v>2250</v>
      </c>
    </row>
    <row r="10" spans="1:2" x14ac:dyDescent="0.35">
      <c r="A10" s="14" t="s">
        <v>23</v>
      </c>
      <c r="B10" s="15">
        <v>1100</v>
      </c>
    </row>
    <row r="11" spans="1:2" x14ac:dyDescent="0.35">
      <c r="A11" s="14" t="s">
        <v>28</v>
      </c>
      <c r="B11" s="15">
        <v>900</v>
      </c>
    </row>
    <row r="12" spans="1:2" x14ac:dyDescent="0.35">
      <c r="A12" s="14" t="s">
        <v>27</v>
      </c>
      <c r="B12" s="15">
        <v>1040</v>
      </c>
    </row>
    <row r="13" spans="1:2" x14ac:dyDescent="0.35">
      <c r="A13" s="14" t="s">
        <v>19</v>
      </c>
      <c r="B13" s="15">
        <v>1600</v>
      </c>
    </row>
    <row r="14" spans="1:2" x14ac:dyDescent="0.35">
      <c r="A14" s="14" t="s">
        <v>25</v>
      </c>
      <c r="B14" s="15">
        <v>1400</v>
      </c>
    </row>
    <row r="15" spans="1:2" x14ac:dyDescent="0.35">
      <c r="A15" s="14" t="s">
        <v>16</v>
      </c>
      <c r="B15" s="15">
        <v>3300</v>
      </c>
    </row>
    <row r="16" spans="1:2" x14ac:dyDescent="0.35">
      <c r="A16" s="14" t="s">
        <v>17</v>
      </c>
      <c r="B16" s="15">
        <v>5340</v>
      </c>
    </row>
    <row r="17" spans="1:2" x14ac:dyDescent="0.35">
      <c r="A17" s="14" t="s">
        <v>21</v>
      </c>
      <c r="B17" s="15">
        <v>1200</v>
      </c>
    </row>
    <row r="18" spans="1:2" x14ac:dyDescent="0.35">
      <c r="A18" s="14" t="s">
        <v>32</v>
      </c>
      <c r="B18" s="15">
        <v>200</v>
      </c>
    </row>
    <row r="19" spans="1:2" x14ac:dyDescent="0.35">
      <c r="A19" s="14" t="s">
        <v>31</v>
      </c>
      <c r="B19" s="15">
        <v>1200</v>
      </c>
    </row>
    <row r="20" spans="1:2" x14ac:dyDescent="0.35">
      <c r="A20" s="14" t="s">
        <v>26</v>
      </c>
      <c r="B20" s="15">
        <v>600</v>
      </c>
    </row>
    <row r="21" spans="1:2" x14ac:dyDescent="0.35">
      <c r="A21" s="14" t="s">
        <v>13</v>
      </c>
      <c r="B21" s="15">
        <v>416</v>
      </c>
    </row>
    <row r="22" spans="1:2" x14ac:dyDescent="0.35">
      <c r="A22" s="14" t="s">
        <v>24</v>
      </c>
      <c r="B22" s="15">
        <v>1800</v>
      </c>
    </row>
    <row r="23" spans="1:2" x14ac:dyDescent="0.35">
      <c r="A23" s="14" t="s">
        <v>15</v>
      </c>
      <c r="B23" s="15">
        <v>3750</v>
      </c>
    </row>
    <row r="24" spans="1:2" x14ac:dyDescent="0.35">
      <c r="A24" s="14" t="s">
        <v>29</v>
      </c>
      <c r="B24" s="15">
        <v>2250</v>
      </c>
    </row>
    <row r="25" spans="1:2" x14ac:dyDescent="0.35">
      <c r="A25" s="14" t="s">
        <v>41</v>
      </c>
      <c r="B25" s="15">
        <v>30866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topLeftCell="A2" workbookViewId="0">
      <selection activeCell="B9" sqref="B9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16" t="s">
        <v>42</v>
      </c>
      <c r="B3" t="s">
        <v>43</v>
      </c>
    </row>
    <row r="4" spans="1:2" x14ac:dyDescent="0.35">
      <c r="A4" s="19">
        <v>45658</v>
      </c>
      <c r="B4" s="18">
        <v>416</v>
      </c>
    </row>
    <row r="5" spans="1:2" x14ac:dyDescent="0.35">
      <c r="A5" s="19">
        <v>45659</v>
      </c>
      <c r="B5" s="18">
        <v>600</v>
      </c>
    </row>
    <row r="6" spans="1:2" x14ac:dyDescent="0.35">
      <c r="A6" s="19">
        <v>45660</v>
      </c>
      <c r="B6" s="18">
        <v>3750</v>
      </c>
    </row>
    <row r="7" spans="1:2" x14ac:dyDescent="0.35">
      <c r="A7" s="19">
        <v>45661</v>
      </c>
      <c r="B7" s="18">
        <v>3300</v>
      </c>
    </row>
    <row r="8" spans="1:2" x14ac:dyDescent="0.35">
      <c r="A8" s="19">
        <v>45662</v>
      </c>
      <c r="B8" s="18">
        <v>5340</v>
      </c>
    </row>
    <row r="9" spans="1:2" x14ac:dyDescent="0.35">
      <c r="A9" s="19">
        <v>45663</v>
      </c>
      <c r="B9" s="18">
        <v>1000</v>
      </c>
    </row>
    <row r="10" spans="1:2" x14ac:dyDescent="0.35">
      <c r="A10" s="19">
        <v>45664</v>
      </c>
      <c r="B10" s="18">
        <v>1600</v>
      </c>
    </row>
    <row r="11" spans="1:2" x14ac:dyDescent="0.35">
      <c r="A11" s="19">
        <v>45665</v>
      </c>
      <c r="B11" s="18">
        <v>260</v>
      </c>
    </row>
    <row r="12" spans="1:2" x14ac:dyDescent="0.35">
      <c r="A12" s="19">
        <v>45666</v>
      </c>
      <c r="B12" s="18">
        <v>1200</v>
      </c>
    </row>
    <row r="13" spans="1:2" x14ac:dyDescent="0.35">
      <c r="A13" s="19">
        <v>45667</v>
      </c>
      <c r="B13" s="18">
        <v>2250</v>
      </c>
    </row>
    <row r="14" spans="1:2" x14ac:dyDescent="0.35">
      <c r="A14" s="19">
        <v>45668</v>
      </c>
      <c r="B14" s="18">
        <v>1100</v>
      </c>
    </row>
    <row r="15" spans="1:2" x14ac:dyDescent="0.35">
      <c r="A15" s="19">
        <v>45669</v>
      </c>
      <c r="B15" s="18">
        <v>1800</v>
      </c>
    </row>
    <row r="16" spans="1:2" x14ac:dyDescent="0.35">
      <c r="A16" s="19">
        <v>45670</v>
      </c>
      <c r="B16" s="18">
        <v>1400</v>
      </c>
    </row>
    <row r="17" spans="1:2" x14ac:dyDescent="0.35">
      <c r="A17" s="19">
        <v>45671</v>
      </c>
      <c r="B17" s="18">
        <v>600</v>
      </c>
    </row>
    <row r="18" spans="1:2" x14ac:dyDescent="0.35">
      <c r="A18" s="19">
        <v>45672</v>
      </c>
      <c r="B18" s="18">
        <v>1040</v>
      </c>
    </row>
    <row r="19" spans="1:2" x14ac:dyDescent="0.35">
      <c r="A19" s="19">
        <v>45673</v>
      </c>
      <c r="B19" s="18">
        <v>900</v>
      </c>
    </row>
    <row r="20" spans="1:2" x14ac:dyDescent="0.35">
      <c r="A20" s="19">
        <v>45674</v>
      </c>
      <c r="B20" s="18">
        <v>2250</v>
      </c>
    </row>
    <row r="21" spans="1:2" x14ac:dyDescent="0.35">
      <c r="A21" s="19">
        <v>45675</v>
      </c>
      <c r="B21" s="18">
        <v>660</v>
      </c>
    </row>
    <row r="22" spans="1:2" x14ac:dyDescent="0.35">
      <c r="A22" s="19">
        <v>45676</v>
      </c>
      <c r="B22" s="18">
        <v>1200</v>
      </c>
    </row>
    <row r="23" spans="1:2" x14ac:dyDescent="0.35">
      <c r="A23" s="19">
        <v>45677</v>
      </c>
      <c r="B23" s="18">
        <v>200</v>
      </c>
    </row>
    <row r="24" spans="1:2" x14ac:dyDescent="0.35">
      <c r="A24" s="19" t="s">
        <v>41</v>
      </c>
      <c r="B24" s="18">
        <v>30866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"/>
    </sheetView>
  </sheetViews>
  <sheetFormatPr defaultRowHeight="14.5" x14ac:dyDescent="0.35"/>
  <cols>
    <col min="1" max="1" width="12.36328125" customWidth="1"/>
    <col min="2" max="2" width="11.81640625" customWidth="1"/>
  </cols>
  <sheetData>
    <row r="3" spans="1:2" x14ac:dyDescent="0.35">
      <c r="A3" s="16" t="s">
        <v>42</v>
      </c>
      <c r="B3" t="s">
        <v>44</v>
      </c>
    </row>
    <row r="4" spans="1:2" x14ac:dyDescent="0.35">
      <c r="A4" s="17" t="s">
        <v>11</v>
      </c>
      <c r="B4" s="18">
        <v>2607</v>
      </c>
    </row>
    <row r="5" spans="1:2" x14ac:dyDescent="0.35">
      <c r="A5" s="17" t="s">
        <v>9</v>
      </c>
      <c r="B5" s="18">
        <v>3181.8000000000006</v>
      </c>
    </row>
    <row r="6" spans="1:2" x14ac:dyDescent="0.35">
      <c r="A6" s="17" t="s">
        <v>10</v>
      </c>
      <c r="B6" s="18">
        <v>1533</v>
      </c>
    </row>
    <row r="7" spans="1:2" x14ac:dyDescent="0.35">
      <c r="A7" s="17" t="s">
        <v>12</v>
      </c>
      <c r="B7" s="18">
        <v>1938</v>
      </c>
    </row>
    <row r="8" spans="1:2" x14ac:dyDescent="0.35">
      <c r="A8" s="17" t="s">
        <v>41</v>
      </c>
      <c r="B8" s="18">
        <v>9259.8000000000011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2026-01-30T05:57:35Z</cp:lastPrinted>
  <dcterms:created xsi:type="dcterms:W3CDTF">2026-01-29T17:37:33Z</dcterms:created>
  <dcterms:modified xsi:type="dcterms:W3CDTF">2026-01-30T05:59:52Z</dcterms:modified>
</cp:coreProperties>
</file>